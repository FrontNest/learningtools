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yers1" sheetId="1" state="visible" r:id="rId1"/>
    <sheet name="Nyers2" sheetId="2" state="visible" r:id="rId2"/>
    <sheet name="Összeítés" sheetId="3" state="visible" r:id="rId3"/>
    <sheet name="Szabályok" sheetId="4" state="visible" r:id="rId4"/>
    <sheet name="Átfedő idők" sheetId="5" state="visible" r:id="rId5"/>
  </sheets>
  <definedNames>
    <definedName name="_xlnm._FilterDatabase" localSheetId="0" hidden="1">'Nyers1'!$A$3:$J$204</definedName>
    <definedName name="_xlnm._FilterDatabase" localSheetId="1" hidden="1">'Nyers2'!$A$3:$J$204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4" fillId="3" borderId="0" pivotButton="0" quotePrefix="0" xfId="0"/>
    <xf numFmtId="0" fontId="4" fillId="4" borderId="0" pivotButton="0" quotePrefix="0" xfId="0"/>
    <xf numFmtId="0" fontId="0" fillId="5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4" fontId="2" fillId="2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Nyers1" displayName="tblNyers1" ref="A3:J204" headerRowCount="1">
  <autoFilter ref="A3:J204"/>
  <tableColumns count="10">
    <tableColumn id="1" name="azonosító"/>
    <tableColumn id="2" name="tól"/>
    <tableColumn id="3" name="ig"/>
    <tableColumn id="4" name="munkáltató"/>
    <tableColumn id="5" name="jogviszony"/>
    <tableColumn id="6" name="járulékalap"/>
    <tableColumn id="7" name="nem_rendszeres"/>
    <tableColumn id="8" name="járulék_összeg"/>
    <tableColumn id="9" name="közölt_napok"/>
    <tableColumn id="10" name="megjegyzé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Nyers2" displayName="tblNyers2" ref="A3:J204" headerRowCount="1">
  <autoFilter ref="A3:J204"/>
  <tableColumns count="10">
    <tableColumn id="1" name="azonosító"/>
    <tableColumn id="2" name="tól"/>
    <tableColumn id="3" name="ig"/>
    <tableColumn id="4" name="munkáltató"/>
    <tableColumn id="5" name="jogviszony"/>
    <tableColumn id="6" name="járulékalap"/>
    <tableColumn id="7" name="nem_rendszeres"/>
    <tableColumn id="8" name="járulék_összeg"/>
    <tableColumn id="9" name="közölt_napok"/>
    <tableColumn id="10" name="megjegyzé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OsszeitesIdoszakok" displayName="tblOsszeitesIdoszakok" ref="A4:H124" headerRowCount="1">
  <autoFilter ref="A4:H124"/>
  <tableColumns count="8">
    <tableColumn id="1" name="azonosító"/>
    <tableColumn id="2" name="tól"/>
    <tableColumn id="3" name="ig"/>
    <tableColumn id="4" name="közölt_napok"/>
    <tableColumn id="5" name="munkáltató"/>
    <tableColumn id="6" name="jogviszony"/>
    <tableColumn id="7" name="minősítés_betűjele"/>
    <tableColumn id="8" name="megjegyzé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OsszeitesJogcimek" displayName="tblOsszeitesJogcimek" ref="A130:J280" headerRowCount="1">
  <autoFilter ref="A130:J280"/>
  <tableColumns count="10">
    <tableColumn id="1" name="kapcsolat_azonosító"/>
    <tableColumn id="2" name="tól"/>
    <tableColumn id="3" name="ig"/>
    <tableColumn id="4" name="napok"/>
    <tableColumn id="5" name="munkáltató"/>
    <tableColumn id="6" name="jogcím"/>
    <tableColumn id="7" name="járulékalap"/>
    <tableColumn id="8" name="nem_rendszeres"/>
    <tableColumn id="9" name="járulék_összeg"/>
    <tableColumn id="10" name="megjegyzé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zabalyokJogcimek" displayName="tblSzabalyokJogcimek" ref="A12:J200" headerRowCount="1">
  <autoFilter ref="A12:J200"/>
  <tableColumns count="10">
    <tableColumn id="1" name="jogcím_megnevezés"/>
    <tableColumn id="2" name="prioritás"/>
    <tableColumn id="3" name="alap_kód"/>
    <tableColumn id="4" name="munkaviszony_jellegű"/>
    <tableColumn id="5" name="minimumbér_vizsgálat"/>
    <tableColumn id="6" name="plafon_vizsgálat"/>
    <tableColumn id="7" name="szüneteltetés_kizárhatja"/>
    <tableColumn id="8" name="tartozás_kizárhatja"/>
    <tableColumn id="9" name="gyermekes_jogcím"/>
    <tableColumn id="10" name="megjegyzé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28" customWidth="1" min="5" max="5"/>
    <col width="15" customWidth="1" min="6" max="6"/>
    <col width="15" customWidth="1" min="7" max="7"/>
    <col width="15" customWidth="1" min="8" max="8"/>
    <col width="14" customWidth="1" min="9" max="9"/>
    <col width="28" customWidth="1" min="10" max="10"/>
  </cols>
  <sheetData>
    <row r="1">
      <c r="A1" s="1" t="inlineStr">
        <is>
          <t>Nyers adatok 1</t>
        </is>
      </c>
      <c r="F1" s="2" t="n"/>
      <c r="G1" s="2" t="n"/>
      <c r="H1" s="2" t="n"/>
    </row>
    <row r="2">
      <c r="F2" s="2" t="n"/>
      <c r="G2" s="2" t="n"/>
      <c r="H2" s="2" t="n"/>
    </row>
    <row r="3">
      <c r="A3" s="3" t="inlineStr">
        <is>
          <t>azonosító</t>
        </is>
      </c>
      <c r="B3" s="3" t="inlineStr">
        <is>
          <t>tól</t>
        </is>
      </c>
      <c r="C3" s="3" t="inlineStr">
        <is>
          <t>ig</t>
        </is>
      </c>
      <c r="D3" s="3" t="inlineStr">
        <is>
          <t>munkáltató</t>
        </is>
      </c>
      <c r="E3" s="3" t="inlineStr">
        <is>
          <t>jogviszony</t>
        </is>
      </c>
      <c r="F3" s="4" t="inlineStr">
        <is>
          <t>járulékalap</t>
        </is>
      </c>
      <c r="G3" s="4" t="inlineStr">
        <is>
          <t>nem_rendszeres</t>
        </is>
      </c>
      <c r="H3" s="4" t="inlineStr">
        <is>
          <t>járulék_összeg</t>
        </is>
      </c>
      <c r="I3" s="3" t="inlineStr">
        <is>
          <t>közölt_napok</t>
        </is>
      </c>
      <c r="J3" s="3" t="inlineStr">
        <is>
          <t>megjegyzés</t>
        </is>
      </c>
    </row>
    <row r="4">
      <c r="A4" s="5" t="n"/>
      <c r="B4" s="5" t="n"/>
      <c r="C4" s="5" t="n"/>
      <c r="D4" s="5" t="n"/>
      <c r="E4" s="5" t="n"/>
      <c r="F4" s="6" t="n"/>
      <c r="G4" s="6" t="n"/>
      <c r="H4" s="6" t="n"/>
      <c r="I4" s="5" t="n"/>
      <c r="J4" s="5" t="n"/>
    </row>
    <row r="5">
      <c r="A5" s="5" t="n"/>
      <c r="B5" s="5" t="n"/>
      <c r="C5" s="5" t="n"/>
      <c r="D5" s="5" t="n"/>
      <c r="E5" s="5" t="n"/>
      <c r="F5" s="6" t="n"/>
      <c r="G5" s="6" t="n"/>
      <c r="H5" s="6" t="n"/>
      <c r="I5" s="5" t="n"/>
      <c r="J5" s="5" t="n"/>
    </row>
    <row r="6">
      <c r="A6" s="5" t="n"/>
      <c r="B6" s="5" t="n"/>
      <c r="C6" s="5" t="n"/>
      <c r="D6" s="5" t="n"/>
      <c r="E6" s="5" t="n"/>
      <c r="F6" s="6" t="n"/>
      <c r="G6" s="6" t="n"/>
      <c r="H6" s="6" t="n"/>
      <c r="I6" s="5" t="n"/>
      <c r="J6" s="5" t="n"/>
    </row>
    <row r="7">
      <c r="A7" s="5" t="n"/>
      <c r="B7" s="5" t="n"/>
      <c r="C7" s="5" t="n"/>
      <c r="D7" s="5" t="n"/>
      <c r="E7" s="5" t="n"/>
      <c r="F7" s="6" t="n"/>
      <c r="G7" s="6" t="n"/>
      <c r="H7" s="6" t="n"/>
      <c r="I7" s="5" t="n"/>
      <c r="J7" s="5" t="n"/>
    </row>
    <row r="8">
      <c r="A8" s="5" t="n"/>
      <c r="B8" s="5" t="n"/>
      <c r="C8" s="5" t="n"/>
      <c r="D8" s="5" t="n"/>
      <c r="E8" s="5" t="n"/>
      <c r="F8" s="6" t="n"/>
      <c r="G8" s="6" t="n"/>
      <c r="H8" s="6" t="n"/>
      <c r="I8" s="5" t="n"/>
      <c r="J8" s="5" t="n"/>
    </row>
    <row r="9">
      <c r="A9" s="5" t="n"/>
      <c r="B9" s="5" t="n"/>
      <c r="C9" s="5" t="n"/>
      <c r="D9" s="5" t="n"/>
      <c r="E9" s="5" t="n"/>
      <c r="F9" s="6" t="n"/>
      <c r="G9" s="6" t="n"/>
      <c r="H9" s="6" t="n"/>
      <c r="I9" s="5" t="n"/>
      <c r="J9" s="5" t="n"/>
    </row>
    <row r="10">
      <c r="A10" s="5" t="n"/>
      <c r="B10" s="5" t="n"/>
      <c r="C10" s="5" t="n"/>
      <c r="D10" s="5" t="n"/>
      <c r="E10" s="5" t="n"/>
      <c r="F10" s="6" t="n"/>
      <c r="G10" s="6" t="n"/>
      <c r="H10" s="6" t="n"/>
      <c r="I10" s="5" t="n"/>
      <c r="J10" s="5" t="n"/>
    </row>
    <row r="11">
      <c r="A11" s="5" t="n"/>
      <c r="B11" s="5" t="n"/>
      <c r="C11" s="5" t="n"/>
      <c r="D11" s="5" t="n"/>
      <c r="E11" s="5" t="n"/>
      <c r="F11" s="6" t="n"/>
      <c r="G11" s="6" t="n"/>
      <c r="H11" s="6" t="n"/>
      <c r="I11" s="5" t="n"/>
      <c r="J11" s="5" t="n"/>
    </row>
    <row r="12">
      <c r="A12" s="5" t="n"/>
      <c r="B12" s="5" t="n"/>
      <c r="C12" s="5" t="n"/>
      <c r="D12" s="5" t="n"/>
      <c r="E12" s="5" t="n"/>
      <c r="F12" s="6" t="n"/>
      <c r="G12" s="6" t="n"/>
      <c r="H12" s="6" t="n"/>
      <c r="I12" s="5" t="n"/>
      <c r="J12" s="5" t="n"/>
    </row>
    <row r="13">
      <c r="A13" s="5" t="n"/>
      <c r="B13" s="5" t="n"/>
      <c r="C13" s="5" t="n"/>
      <c r="D13" s="5" t="n"/>
      <c r="E13" s="5" t="n"/>
      <c r="F13" s="6" t="n"/>
      <c r="G13" s="6" t="n"/>
      <c r="H13" s="6" t="n"/>
      <c r="I13" s="5" t="n"/>
      <c r="J13" s="5" t="n"/>
    </row>
    <row r="14">
      <c r="A14" s="5" t="n"/>
      <c r="B14" s="5" t="n"/>
      <c r="C14" s="5" t="n"/>
      <c r="D14" s="5" t="n"/>
      <c r="E14" s="5" t="n"/>
      <c r="F14" s="6" t="n"/>
      <c r="G14" s="6" t="n"/>
      <c r="H14" s="6" t="n"/>
      <c r="I14" s="5" t="n"/>
      <c r="J14" s="5" t="n"/>
    </row>
    <row r="15">
      <c r="A15" s="5" t="n"/>
      <c r="B15" s="5" t="n"/>
      <c r="C15" s="5" t="n"/>
      <c r="D15" s="5" t="n"/>
      <c r="E15" s="5" t="n"/>
      <c r="F15" s="6" t="n"/>
      <c r="G15" s="6" t="n"/>
      <c r="H15" s="6" t="n"/>
      <c r="I15" s="5" t="n"/>
      <c r="J15" s="5" t="n"/>
    </row>
    <row r="16">
      <c r="A16" s="5" t="n"/>
      <c r="B16" s="5" t="n"/>
      <c r="C16" s="5" t="n"/>
      <c r="D16" s="5" t="n"/>
      <c r="E16" s="5" t="n"/>
      <c r="F16" s="6" t="n"/>
      <c r="G16" s="6" t="n"/>
      <c r="H16" s="6" t="n"/>
      <c r="I16" s="5" t="n"/>
      <c r="J16" s="5" t="n"/>
    </row>
    <row r="17">
      <c r="A17" s="5" t="n"/>
      <c r="B17" s="5" t="n"/>
      <c r="C17" s="5" t="n"/>
      <c r="D17" s="5" t="n"/>
      <c r="E17" s="5" t="n"/>
      <c r="F17" s="6" t="n"/>
      <c r="G17" s="6" t="n"/>
      <c r="H17" s="6" t="n"/>
      <c r="I17" s="5" t="n"/>
      <c r="J17" s="5" t="n"/>
    </row>
    <row r="18">
      <c r="A18" s="5" t="n"/>
      <c r="B18" s="5" t="n"/>
      <c r="C18" s="5" t="n"/>
      <c r="D18" s="5" t="n"/>
      <c r="E18" s="5" t="n"/>
      <c r="F18" s="6" t="n"/>
      <c r="G18" s="6" t="n"/>
      <c r="H18" s="6" t="n"/>
      <c r="I18" s="5" t="n"/>
      <c r="J18" s="5" t="n"/>
    </row>
    <row r="19">
      <c r="A19" s="5" t="n"/>
      <c r="B19" s="5" t="n"/>
      <c r="C19" s="5" t="n"/>
      <c r="D19" s="5" t="n"/>
      <c r="E19" s="5" t="n"/>
      <c r="F19" s="6" t="n"/>
      <c r="G19" s="6" t="n"/>
      <c r="H19" s="6" t="n"/>
      <c r="I19" s="5" t="n"/>
      <c r="J19" s="5" t="n"/>
    </row>
    <row r="20">
      <c r="A20" s="5" t="n"/>
      <c r="B20" s="5" t="n"/>
      <c r="C20" s="5" t="n"/>
      <c r="D20" s="5" t="n"/>
      <c r="E20" s="5" t="n"/>
      <c r="F20" s="6" t="n"/>
      <c r="G20" s="6" t="n"/>
      <c r="H20" s="6" t="n"/>
      <c r="I20" s="5" t="n"/>
      <c r="J20" s="5" t="n"/>
    </row>
    <row r="21">
      <c r="A21" s="5" t="n"/>
      <c r="B21" s="5" t="n"/>
      <c r="C21" s="5" t="n"/>
      <c r="D21" s="5" t="n"/>
      <c r="E21" s="5" t="n"/>
      <c r="F21" s="6" t="n"/>
      <c r="G21" s="6" t="n"/>
      <c r="H21" s="6" t="n"/>
      <c r="I21" s="5" t="n"/>
      <c r="J21" s="5" t="n"/>
    </row>
    <row r="22">
      <c r="A22" s="5" t="n"/>
      <c r="B22" s="5" t="n"/>
      <c r="C22" s="5" t="n"/>
      <c r="D22" s="5" t="n"/>
      <c r="E22" s="5" t="n"/>
      <c r="F22" s="6" t="n"/>
      <c r="G22" s="6" t="n"/>
      <c r="H22" s="6" t="n"/>
      <c r="I22" s="5" t="n"/>
      <c r="J22" s="5" t="n"/>
    </row>
    <row r="23">
      <c r="A23" s="5" t="n"/>
      <c r="B23" s="5" t="n"/>
      <c r="C23" s="5" t="n"/>
      <c r="D23" s="5" t="n"/>
      <c r="E23" s="5" t="n"/>
      <c r="F23" s="6" t="n"/>
      <c r="G23" s="6" t="n"/>
      <c r="H23" s="6" t="n"/>
      <c r="I23" s="5" t="n"/>
      <c r="J23" s="5" t="n"/>
    </row>
    <row r="24">
      <c r="A24" s="5" t="n"/>
      <c r="B24" s="5" t="n"/>
      <c r="C24" s="5" t="n"/>
      <c r="D24" s="5" t="n"/>
      <c r="E24" s="5" t="n"/>
      <c r="F24" s="6" t="n"/>
      <c r="G24" s="6" t="n"/>
      <c r="H24" s="6" t="n"/>
      <c r="I24" s="5" t="n"/>
      <c r="J24" s="5" t="n"/>
    </row>
    <row r="25">
      <c r="A25" s="5" t="n"/>
      <c r="B25" s="5" t="n"/>
      <c r="C25" s="5" t="n"/>
      <c r="D25" s="5" t="n"/>
      <c r="E25" s="5" t="n"/>
      <c r="F25" s="6" t="n"/>
      <c r="G25" s="6" t="n"/>
      <c r="H25" s="6" t="n"/>
      <c r="I25" s="5" t="n"/>
      <c r="J25" s="5" t="n"/>
    </row>
    <row r="26">
      <c r="A26" s="5" t="n"/>
      <c r="B26" s="5" t="n"/>
      <c r="C26" s="5" t="n"/>
      <c r="D26" s="5" t="n"/>
      <c r="E26" s="5" t="n"/>
      <c r="F26" s="6" t="n"/>
      <c r="G26" s="6" t="n"/>
      <c r="H26" s="6" t="n"/>
      <c r="I26" s="5" t="n"/>
      <c r="J26" s="5" t="n"/>
    </row>
    <row r="27">
      <c r="A27" s="5" t="n"/>
      <c r="B27" s="5" t="n"/>
      <c r="C27" s="5" t="n"/>
      <c r="D27" s="5" t="n"/>
      <c r="E27" s="5" t="n"/>
      <c r="F27" s="6" t="n"/>
      <c r="G27" s="6" t="n"/>
      <c r="H27" s="6" t="n"/>
      <c r="I27" s="5" t="n"/>
      <c r="J27" s="5" t="n"/>
    </row>
    <row r="28">
      <c r="A28" s="5" t="n"/>
      <c r="B28" s="5" t="n"/>
      <c r="C28" s="5" t="n"/>
      <c r="D28" s="5" t="n"/>
      <c r="E28" s="5" t="n"/>
      <c r="F28" s="6" t="n"/>
      <c r="G28" s="6" t="n"/>
      <c r="H28" s="6" t="n"/>
      <c r="I28" s="5" t="n"/>
      <c r="J28" s="5" t="n"/>
    </row>
    <row r="29">
      <c r="A29" s="5" t="n"/>
      <c r="B29" s="5" t="n"/>
      <c r="C29" s="5" t="n"/>
      <c r="D29" s="5" t="n"/>
      <c r="E29" s="5" t="n"/>
      <c r="F29" s="6" t="n"/>
      <c r="G29" s="6" t="n"/>
      <c r="H29" s="6" t="n"/>
      <c r="I29" s="5" t="n"/>
      <c r="J29" s="5" t="n"/>
    </row>
    <row r="30">
      <c r="A30" s="5" t="n"/>
      <c r="B30" s="5" t="n"/>
      <c r="C30" s="5" t="n"/>
      <c r="D30" s="5" t="n"/>
      <c r="E30" s="5" t="n"/>
      <c r="F30" s="6" t="n"/>
      <c r="G30" s="6" t="n"/>
      <c r="H30" s="6" t="n"/>
      <c r="I30" s="5" t="n"/>
      <c r="J30" s="5" t="n"/>
    </row>
    <row r="31">
      <c r="A31" s="5" t="n"/>
      <c r="B31" s="5" t="n"/>
      <c r="C31" s="5" t="n"/>
      <c r="D31" s="5" t="n"/>
      <c r="E31" s="5" t="n"/>
      <c r="F31" s="6" t="n"/>
      <c r="G31" s="6" t="n"/>
      <c r="H31" s="6" t="n"/>
      <c r="I31" s="5" t="n"/>
      <c r="J31" s="5" t="n"/>
    </row>
    <row r="32">
      <c r="A32" s="5" t="n"/>
      <c r="B32" s="5" t="n"/>
      <c r="C32" s="5" t="n"/>
      <c r="D32" s="5" t="n"/>
      <c r="E32" s="5" t="n"/>
      <c r="F32" s="6" t="n"/>
      <c r="G32" s="6" t="n"/>
      <c r="H32" s="6" t="n"/>
      <c r="I32" s="5" t="n"/>
      <c r="J32" s="5" t="n"/>
    </row>
    <row r="33">
      <c r="A33" s="5" t="n"/>
      <c r="B33" s="5" t="n"/>
      <c r="C33" s="5" t="n"/>
      <c r="D33" s="5" t="n"/>
      <c r="E33" s="5" t="n"/>
      <c r="F33" s="6" t="n"/>
      <c r="G33" s="6" t="n"/>
      <c r="H33" s="6" t="n"/>
      <c r="I33" s="5" t="n"/>
      <c r="J33" s="5" t="n"/>
    </row>
    <row r="34">
      <c r="A34" s="5" t="n"/>
      <c r="B34" s="5" t="n"/>
      <c r="C34" s="5" t="n"/>
      <c r="D34" s="5" t="n"/>
      <c r="E34" s="5" t="n"/>
      <c r="F34" s="6" t="n"/>
      <c r="G34" s="6" t="n"/>
      <c r="H34" s="6" t="n"/>
      <c r="I34" s="5" t="n"/>
      <c r="J34" s="5" t="n"/>
    </row>
    <row r="35">
      <c r="A35" s="5" t="n"/>
      <c r="B35" s="5" t="n"/>
      <c r="C35" s="5" t="n"/>
      <c r="D35" s="5" t="n"/>
      <c r="E35" s="5" t="n"/>
      <c r="F35" s="6" t="n"/>
      <c r="G35" s="6" t="n"/>
      <c r="H35" s="6" t="n"/>
      <c r="I35" s="5" t="n"/>
      <c r="J35" s="5" t="n"/>
    </row>
    <row r="36">
      <c r="A36" s="5" t="n"/>
      <c r="B36" s="5" t="n"/>
      <c r="C36" s="5" t="n"/>
      <c r="D36" s="5" t="n"/>
      <c r="E36" s="5" t="n"/>
      <c r="F36" s="6" t="n"/>
      <c r="G36" s="6" t="n"/>
      <c r="H36" s="6" t="n"/>
      <c r="I36" s="5" t="n"/>
      <c r="J36" s="5" t="n"/>
    </row>
    <row r="37">
      <c r="A37" s="5" t="n"/>
      <c r="B37" s="5" t="n"/>
      <c r="C37" s="5" t="n"/>
      <c r="D37" s="5" t="n"/>
      <c r="E37" s="5" t="n"/>
      <c r="F37" s="6" t="n"/>
      <c r="G37" s="6" t="n"/>
      <c r="H37" s="6" t="n"/>
      <c r="I37" s="5" t="n"/>
      <c r="J37" s="5" t="n"/>
    </row>
    <row r="38">
      <c r="A38" s="5" t="n"/>
      <c r="B38" s="5" t="n"/>
      <c r="C38" s="5" t="n"/>
      <c r="D38" s="5" t="n"/>
      <c r="E38" s="5" t="n"/>
      <c r="F38" s="6" t="n"/>
      <c r="G38" s="6" t="n"/>
      <c r="H38" s="6" t="n"/>
      <c r="I38" s="5" t="n"/>
      <c r="J38" s="5" t="n"/>
    </row>
    <row r="39">
      <c r="A39" s="5" t="n"/>
      <c r="B39" s="5" t="n"/>
      <c r="C39" s="5" t="n"/>
      <c r="D39" s="5" t="n"/>
      <c r="E39" s="5" t="n"/>
      <c r="F39" s="6" t="n"/>
      <c r="G39" s="6" t="n"/>
      <c r="H39" s="6" t="n"/>
      <c r="I39" s="5" t="n"/>
      <c r="J39" s="5" t="n"/>
    </row>
    <row r="40">
      <c r="A40" s="5" t="n"/>
      <c r="B40" s="5" t="n"/>
      <c r="C40" s="5" t="n"/>
      <c r="D40" s="5" t="n"/>
      <c r="E40" s="5" t="n"/>
      <c r="F40" s="6" t="n"/>
      <c r="G40" s="6" t="n"/>
      <c r="H40" s="6" t="n"/>
      <c r="I40" s="5" t="n"/>
      <c r="J40" s="5" t="n"/>
    </row>
    <row r="41">
      <c r="A41" s="5" t="n"/>
      <c r="B41" s="5" t="n"/>
      <c r="C41" s="5" t="n"/>
      <c r="D41" s="5" t="n"/>
      <c r="E41" s="5" t="n"/>
      <c r="F41" s="6" t="n"/>
      <c r="G41" s="6" t="n"/>
      <c r="H41" s="6" t="n"/>
      <c r="I41" s="5" t="n"/>
      <c r="J41" s="5" t="n"/>
    </row>
    <row r="42">
      <c r="A42" s="5" t="n"/>
      <c r="B42" s="5" t="n"/>
      <c r="C42" s="5" t="n"/>
      <c r="D42" s="5" t="n"/>
      <c r="E42" s="5" t="n"/>
      <c r="F42" s="6" t="n"/>
      <c r="G42" s="6" t="n"/>
      <c r="H42" s="6" t="n"/>
      <c r="I42" s="5" t="n"/>
      <c r="J42" s="5" t="n"/>
    </row>
    <row r="43">
      <c r="A43" s="5" t="n"/>
      <c r="B43" s="5" t="n"/>
      <c r="C43" s="5" t="n"/>
      <c r="D43" s="5" t="n"/>
      <c r="E43" s="5" t="n"/>
      <c r="F43" s="6" t="n"/>
      <c r="G43" s="6" t="n"/>
      <c r="H43" s="6" t="n"/>
      <c r="I43" s="5" t="n"/>
      <c r="J43" s="5" t="n"/>
    </row>
    <row r="44">
      <c r="A44" s="5" t="n"/>
      <c r="B44" s="5" t="n"/>
      <c r="C44" s="5" t="n"/>
      <c r="D44" s="5" t="n"/>
      <c r="E44" s="5" t="n"/>
      <c r="F44" s="6" t="n"/>
      <c r="G44" s="6" t="n"/>
      <c r="H44" s="6" t="n"/>
      <c r="I44" s="5" t="n"/>
      <c r="J44" s="5" t="n"/>
    </row>
    <row r="45">
      <c r="A45" s="5" t="n"/>
      <c r="B45" s="5" t="n"/>
      <c r="C45" s="5" t="n"/>
      <c r="D45" s="5" t="n"/>
      <c r="E45" s="5" t="n"/>
      <c r="F45" s="6" t="n"/>
      <c r="G45" s="6" t="n"/>
      <c r="H45" s="6" t="n"/>
      <c r="I45" s="5" t="n"/>
      <c r="J45" s="5" t="n"/>
    </row>
    <row r="46">
      <c r="A46" s="5" t="n"/>
      <c r="B46" s="5" t="n"/>
      <c r="C46" s="5" t="n"/>
      <c r="D46" s="5" t="n"/>
      <c r="E46" s="5" t="n"/>
      <c r="F46" s="6" t="n"/>
      <c r="G46" s="6" t="n"/>
      <c r="H46" s="6" t="n"/>
      <c r="I46" s="5" t="n"/>
      <c r="J46" s="5" t="n"/>
    </row>
    <row r="47">
      <c r="A47" s="5" t="n"/>
      <c r="B47" s="5" t="n"/>
      <c r="C47" s="5" t="n"/>
      <c r="D47" s="5" t="n"/>
      <c r="E47" s="5" t="n"/>
      <c r="F47" s="6" t="n"/>
      <c r="G47" s="6" t="n"/>
      <c r="H47" s="6" t="n"/>
      <c r="I47" s="5" t="n"/>
      <c r="J47" s="5" t="n"/>
    </row>
    <row r="48">
      <c r="A48" s="5" t="n"/>
      <c r="B48" s="5" t="n"/>
      <c r="C48" s="5" t="n"/>
      <c r="D48" s="5" t="n"/>
      <c r="E48" s="5" t="n"/>
      <c r="F48" s="6" t="n"/>
      <c r="G48" s="6" t="n"/>
      <c r="H48" s="6" t="n"/>
      <c r="I48" s="5" t="n"/>
      <c r="J48" s="5" t="n"/>
    </row>
    <row r="49">
      <c r="A49" s="5" t="n"/>
      <c r="B49" s="5" t="n"/>
      <c r="C49" s="5" t="n"/>
      <c r="D49" s="5" t="n"/>
      <c r="E49" s="5" t="n"/>
      <c r="F49" s="6" t="n"/>
      <c r="G49" s="6" t="n"/>
      <c r="H49" s="6" t="n"/>
      <c r="I49" s="5" t="n"/>
      <c r="J49" s="5" t="n"/>
    </row>
    <row r="50">
      <c r="A50" s="5" t="n"/>
      <c r="B50" s="5" t="n"/>
      <c r="C50" s="5" t="n"/>
      <c r="D50" s="5" t="n"/>
      <c r="E50" s="5" t="n"/>
      <c r="F50" s="6" t="n"/>
      <c r="G50" s="6" t="n"/>
      <c r="H50" s="6" t="n"/>
      <c r="I50" s="5" t="n"/>
      <c r="J50" s="5" t="n"/>
    </row>
    <row r="51">
      <c r="A51" s="5" t="n"/>
      <c r="B51" s="5" t="n"/>
      <c r="C51" s="5" t="n"/>
      <c r="D51" s="5" t="n"/>
      <c r="E51" s="5" t="n"/>
      <c r="F51" s="6" t="n"/>
      <c r="G51" s="6" t="n"/>
      <c r="H51" s="6" t="n"/>
      <c r="I51" s="5" t="n"/>
      <c r="J51" s="5" t="n"/>
    </row>
    <row r="52">
      <c r="A52" s="5" t="n"/>
      <c r="B52" s="5" t="n"/>
      <c r="C52" s="5" t="n"/>
      <c r="D52" s="5" t="n"/>
      <c r="E52" s="5" t="n"/>
      <c r="F52" s="6" t="n"/>
      <c r="G52" s="6" t="n"/>
      <c r="H52" s="6" t="n"/>
      <c r="I52" s="5" t="n"/>
      <c r="J52" s="5" t="n"/>
    </row>
    <row r="53">
      <c r="A53" s="5" t="n"/>
      <c r="B53" s="5" t="n"/>
      <c r="C53" s="5" t="n"/>
      <c r="D53" s="5" t="n"/>
      <c r="E53" s="5" t="n"/>
      <c r="F53" s="6" t="n"/>
      <c r="G53" s="6" t="n"/>
      <c r="H53" s="6" t="n"/>
      <c r="I53" s="5" t="n"/>
      <c r="J53" s="5" t="n"/>
    </row>
    <row r="54">
      <c r="A54" s="5" t="n"/>
      <c r="B54" s="5" t="n"/>
      <c r="C54" s="5" t="n"/>
      <c r="D54" s="5" t="n"/>
      <c r="E54" s="5" t="n"/>
      <c r="F54" s="6" t="n"/>
      <c r="G54" s="6" t="n"/>
      <c r="H54" s="6" t="n"/>
      <c r="I54" s="5" t="n"/>
      <c r="J54" s="5" t="n"/>
    </row>
    <row r="55">
      <c r="A55" s="5" t="n"/>
      <c r="B55" s="5" t="n"/>
      <c r="C55" s="5" t="n"/>
      <c r="D55" s="5" t="n"/>
      <c r="E55" s="5" t="n"/>
      <c r="F55" s="6" t="n"/>
      <c r="G55" s="6" t="n"/>
      <c r="H55" s="6" t="n"/>
      <c r="I55" s="5" t="n"/>
      <c r="J55" s="5" t="n"/>
    </row>
    <row r="56">
      <c r="A56" s="5" t="n"/>
      <c r="B56" s="5" t="n"/>
      <c r="C56" s="5" t="n"/>
      <c r="D56" s="5" t="n"/>
      <c r="E56" s="5" t="n"/>
      <c r="F56" s="6" t="n"/>
      <c r="G56" s="6" t="n"/>
      <c r="H56" s="6" t="n"/>
      <c r="I56" s="5" t="n"/>
      <c r="J56" s="5" t="n"/>
    </row>
    <row r="57">
      <c r="A57" s="5" t="n"/>
      <c r="B57" s="5" t="n"/>
      <c r="C57" s="5" t="n"/>
      <c r="D57" s="5" t="n"/>
      <c r="E57" s="5" t="n"/>
      <c r="F57" s="6" t="n"/>
      <c r="G57" s="6" t="n"/>
      <c r="H57" s="6" t="n"/>
      <c r="I57" s="5" t="n"/>
      <c r="J57" s="5" t="n"/>
    </row>
    <row r="58">
      <c r="A58" s="5" t="n"/>
      <c r="B58" s="5" t="n"/>
      <c r="C58" s="5" t="n"/>
      <c r="D58" s="5" t="n"/>
      <c r="E58" s="5" t="n"/>
      <c r="F58" s="6" t="n"/>
      <c r="G58" s="6" t="n"/>
      <c r="H58" s="6" t="n"/>
      <c r="I58" s="5" t="n"/>
      <c r="J58" s="5" t="n"/>
    </row>
    <row r="59">
      <c r="A59" s="5" t="n"/>
      <c r="B59" s="5" t="n"/>
      <c r="C59" s="5" t="n"/>
      <c r="D59" s="5" t="n"/>
      <c r="E59" s="5" t="n"/>
      <c r="F59" s="6" t="n"/>
      <c r="G59" s="6" t="n"/>
      <c r="H59" s="6" t="n"/>
      <c r="I59" s="5" t="n"/>
      <c r="J59" s="5" t="n"/>
    </row>
    <row r="60">
      <c r="A60" s="5" t="n"/>
      <c r="B60" s="5" t="n"/>
      <c r="C60" s="5" t="n"/>
      <c r="D60" s="5" t="n"/>
      <c r="E60" s="5" t="n"/>
      <c r="F60" s="6" t="n"/>
      <c r="G60" s="6" t="n"/>
      <c r="H60" s="6" t="n"/>
      <c r="I60" s="5" t="n"/>
      <c r="J60" s="5" t="n"/>
    </row>
    <row r="61">
      <c r="A61" s="5" t="n"/>
      <c r="B61" s="5" t="n"/>
      <c r="C61" s="5" t="n"/>
      <c r="D61" s="5" t="n"/>
      <c r="E61" s="5" t="n"/>
      <c r="F61" s="6" t="n"/>
      <c r="G61" s="6" t="n"/>
      <c r="H61" s="6" t="n"/>
      <c r="I61" s="5" t="n"/>
      <c r="J61" s="5" t="n"/>
    </row>
    <row r="62">
      <c r="A62" s="5" t="n"/>
      <c r="B62" s="5" t="n"/>
      <c r="C62" s="5" t="n"/>
      <c r="D62" s="5" t="n"/>
      <c r="E62" s="5" t="n"/>
      <c r="F62" s="6" t="n"/>
      <c r="G62" s="6" t="n"/>
      <c r="H62" s="6" t="n"/>
      <c r="I62" s="5" t="n"/>
      <c r="J62" s="5" t="n"/>
    </row>
    <row r="63">
      <c r="A63" s="5" t="n"/>
      <c r="B63" s="5" t="n"/>
      <c r="C63" s="5" t="n"/>
      <c r="D63" s="5" t="n"/>
      <c r="E63" s="5" t="n"/>
      <c r="F63" s="6" t="n"/>
      <c r="G63" s="6" t="n"/>
      <c r="H63" s="6" t="n"/>
      <c r="I63" s="5" t="n"/>
      <c r="J63" s="5" t="n"/>
    </row>
    <row r="64">
      <c r="A64" s="5" t="n"/>
      <c r="B64" s="5" t="n"/>
      <c r="C64" s="5" t="n"/>
      <c r="D64" s="5" t="n"/>
      <c r="E64" s="5" t="n"/>
      <c r="F64" s="6" t="n"/>
      <c r="G64" s="6" t="n"/>
      <c r="H64" s="6" t="n"/>
      <c r="I64" s="5" t="n"/>
      <c r="J64" s="5" t="n"/>
    </row>
    <row r="65">
      <c r="A65" s="5" t="n"/>
      <c r="B65" s="5" t="n"/>
      <c r="C65" s="5" t="n"/>
      <c r="D65" s="5" t="n"/>
      <c r="E65" s="5" t="n"/>
      <c r="F65" s="6" t="n"/>
      <c r="G65" s="6" t="n"/>
      <c r="H65" s="6" t="n"/>
      <c r="I65" s="5" t="n"/>
      <c r="J65" s="5" t="n"/>
    </row>
    <row r="66">
      <c r="A66" s="5" t="n"/>
      <c r="B66" s="5" t="n"/>
      <c r="C66" s="5" t="n"/>
      <c r="D66" s="5" t="n"/>
      <c r="E66" s="5" t="n"/>
      <c r="F66" s="6" t="n"/>
      <c r="G66" s="6" t="n"/>
      <c r="H66" s="6" t="n"/>
      <c r="I66" s="5" t="n"/>
      <c r="J66" s="5" t="n"/>
    </row>
    <row r="67">
      <c r="A67" s="5" t="n"/>
      <c r="B67" s="5" t="n"/>
      <c r="C67" s="5" t="n"/>
      <c r="D67" s="5" t="n"/>
      <c r="E67" s="5" t="n"/>
      <c r="F67" s="6" t="n"/>
      <c r="G67" s="6" t="n"/>
      <c r="H67" s="6" t="n"/>
      <c r="I67" s="5" t="n"/>
      <c r="J67" s="5" t="n"/>
    </row>
    <row r="68">
      <c r="A68" s="5" t="n"/>
      <c r="B68" s="5" t="n"/>
      <c r="C68" s="5" t="n"/>
      <c r="D68" s="5" t="n"/>
      <c r="E68" s="5" t="n"/>
      <c r="F68" s="6" t="n"/>
      <c r="G68" s="6" t="n"/>
      <c r="H68" s="6" t="n"/>
      <c r="I68" s="5" t="n"/>
      <c r="J68" s="5" t="n"/>
    </row>
    <row r="69">
      <c r="A69" s="5" t="n"/>
      <c r="B69" s="5" t="n"/>
      <c r="C69" s="5" t="n"/>
      <c r="D69" s="5" t="n"/>
      <c r="E69" s="5" t="n"/>
      <c r="F69" s="6" t="n"/>
      <c r="G69" s="6" t="n"/>
      <c r="H69" s="6" t="n"/>
      <c r="I69" s="5" t="n"/>
      <c r="J69" s="5" t="n"/>
    </row>
    <row r="70">
      <c r="A70" s="5" t="n"/>
      <c r="B70" s="5" t="n"/>
      <c r="C70" s="5" t="n"/>
      <c r="D70" s="5" t="n"/>
      <c r="E70" s="5" t="n"/>
      <c r="F70" s="6" t="n"/>
      <c r="G70" s="6" t="n"/>
      <c r="H70" s="6" t="n"/>
      <c r="I70" s="5" t="n"/>
      <c r="J70" s="5" t="n"/>
    </row>
    <row r="71">
      <c r="A71" s="5" t="n"/>
      <c r="B71" s="5" t="n"/>
      <c r="C71" s="5" t="n"/>
      <c r="D71" s="5" t="n"/>
      <c r="E71" s="5" t="n"/>
      <c r="F71" s="6" t="n"/>
      <c r="G71" s="6" t="n"/>
      <c r="H71" s="6" t="n"/>
      <c r="I71" s="5" t="n"/>
      <c r="J71" s="5" t="n"/>
    </row>
    <row r="72">
      <c r="A72" s="5" t="n"/>
      <c r="B72" s="5" t="n"/>
      <c r="C72" s="5" t="n"/>
      <c r="D72" s="5" t="n"/>
      <c r="E72" s="5" t="n"/>
      <c r="F72" s="6" t="n"/>
      <c r="G72" s="6" t="n"/>
      <c r="H72" s="6" t="n"/>
      <c r="I72" s="5" t="n"/>
      <c r="J72" s="5" t="n"/>
    </row>
    <row r="73">
      <c r="A73" s="5" t="n"/>
      <c r="B73" s="5" t="n"/>
      <c r="C73" s="5" t="n"/>
      <c r="D73" s="5" t="n"/>
      <c r="E73" s="5" t="n"/>
      <c r="F73" s="6" t="n"/>
      <c r="G73" s="6" t="n"/>
      <c r="H73" s="6" t="n"/>
      <c r="I73" s="5" t="n"/>
      <c r="J73" s="5" t="n"/>
    </row>
    <row r="74">
      <c r="A74" s="5" t="n"/>
      <c r="B74" s="5" t="n"/>
      <c r="C74" s="5" t="n"/>
      <c r="D74" s="5" t="n"/>
      <c r="E74" s="5" t="n"/>
      <c r="F74" s="6" t="n"/>
      <c r="G74" s="6" t="n"/>
      <c r="H74" s="6" t="n"/>
      <c r="I74" s="5" t="n"/>
      <c r="J74" s="5" t="n"/>
    </row>
    <row r="75">
      <c r="A75" s="5" t="n"/>
      <c r="B75" s="5" t="n"/>
      <c r="C75" s="5" t="n"/>
      <c r="D75" s="5" t="n"/>
      <c r="E75" s="5" t="n"/>
      <c r="F75" s="6" t="n"/>
      <c r="G75" s="6" t="n"/>
      <c r="H75" s="6" t="n"/>
      <c r="I75" s="5" t="n"/>
      <c r="J75" s="5" t="n"/>
    </row>
    <row r="76">
      <c r="A76" s="5" t="n"/>
      <c r="B76" s="5" t="n"/>
      <c r="C76" s="5" t="n"/>
      <c r="D76" s="5" t="n"/>
      <c r="E76" s="5" t="n"/>
      <c r="F76" s="6" t="n"/>
      <c r="G76" s="6" t="n"/>
      <c r="H76" s="6" t="n"/>
      <c r="I76" s="5" t="n"/>
      <c r="J76" s="5" t="n"/>
    </row>
    <row r="77">
      <c r="A77" s="5" t="n"/>
      <c r="B77" s="5" t="n"/>
      <c r="C77" s="5" t="n"/>
      <c r="D77" s="5" t="n"/>
      <c r="E77" s="5" t="n"/>
      <c r="F77" s="6" t="n"/>
      <c r="G77" s="6" t="n"/>
      <c r="H77" s="6" t="n"/>
      <c r="I77" s="5" t="n"/>
      <c r="J77" s="5" t="n"/>
    </row>
    <row r="78">
      <c r="A78" s="5" t="n"/>
      <c r="B78" s="5" t="n"/>
      <c r="C78" s="5" t="n"/>
      <c r="D78" s="5" t="n"/>
      <c r="E78" s="5" t="n"/>
      <c r="F78" s="6" t="n"/>
      <c r="G78" s="6" t="n"/>
      <c r="H78" s="6" t="n"/>
      <c r="I78" s="5" t="n"/>
      <c r="J78" s="5" t="n"/>
    </row>
    <row r="79">
      <c r="A79" s="5" t="n"/>
      <c r="B79" s="5" t="n"/>
      <c r="C79" s="5" t="n"/>
      <c r="D79" s="5" t="n"/>
      <c r="E79" s="5" t="n"/>
      <c r="F79" s="6" t="n"/>
      <c r="G79" s="6" t="n"/>
      <c r="H79" s="6" t="n"/>
      <c r="I79" s="5" t="n"/>
      <c r="J79" s="5" t="n"/>
    </row>
    <row r="80">
      <c r="A80" s="5" t="n"/>
      <c r="B80" s="5" t="n"/>
      <c r="C80" s="5" t="n"/>
      <c r="D80" s="5" t="n"/>
      <c r="E80" s="5" t="n"/>
      <c r="F80" s="6" t="n"/>
      <c r="G80" s="6" t="n"/>
      <c r="H80" s="6" t="n"/>
      <c r="I80" s="5" t="n"/>
      <c r="J80" s="5" t="n"/>
    </row>
    <row r="81">
      <c r="A81" s="5" t="n"/>
      <c r="B81" s="5" t="n"/>
      <c r="C81" s="5" t="n"/>
      <c r="D81" s="5" t="n"/>
      <c r="E81" s="5" t="n"/>
      <c r="F81" s="6" t="n"/>
      <c r="G81" s="6" t="n"/>
      <c r="H81" s="6" t="n"/>
      <c r="I81" s="5" t="n"/>
      <c r="J81" s="5" t="n"/>
    </row>
    <row r="82">
      <c r="A82" s="5" t="n"/>
      <c r="B82" s="5" t="n"/>
      <c r="C82" s="5" t="n"/>
      <c r="D82" s="5" t="n"/>
      <c r="E82" s="5" t="n"/>
      <c r="F82" s="6" t="n"/>
      <c r="G82" s="6" t="n"/>
      <c r="H82" s="6" t="n"/>
      <c r="I82" s="5" t="n"/>
      <c r="J82" s="5" t="n"/>
    </row>
    <row r="83">
      <c r="A83" s="5" t="n"/>
      <c r="B83" s="5" t="n"/>
      <c r="C83" s="5" t="n"/>
      <c r="D83" s="5" t="n"/>
      <c r="E83" s="5" t="n"/>
      <c r="F83" s="6" t="n"/>
      <c r="G83" s="6" t="n"/>
      <c r="H83" s="6" t="n"/>
      <c r="I83" s="5" t="n"/>
      <c r="J83" s="5" t="n"/>
    </row>
    <row r="84">
      <c r="A84" s="5" t="n"/>
      <c r="B84" s="5" t="n"/>
      <c r="C84" s="5" t="n"/>
      <c r="D84" s="5" t="n"/>
      <c r="E84" s="5" t="n"/>
      <c r="F84" s="6" t="n"/>
      <c r="G84" s="6" t="n"/>
      <c r="H84" s="6" t="n"/>
      <c r="I84" s="5" t="n"/>
      <c r="J84" s="5" t="n"/>
    </row>
    <row r="85">
      <c r="A85" s="5" t="n"/>
      <c r="B85" s="5" t="n"/>
      <c r="C85" s="5" t="n"/>
      <c r="D85" s="5" t="n"/>
      <c r="E85" s="5" t="n"/>
      <c r="F85" s="6" t="n"/>
      <c r="G85" s="6" t="n"/>
      <c r="H85" s="6" t="n"/>
      <c r="I85" s="5" t="n"/>
      <c r="J85" s="5" t="n"/>
    </row>
    <row r="86">
      <c r="A86" s="5" t="n"/>
      <c r="B86" s="5" t="n"/>
      <c r="C86" s="5" t="n"/>
      <c r="D86" s="5" t="n"/>
      <c r="E86" s="5" t="n"/>
      <c r="F86" s="6" t="n"/>
      <c r="G86" s="6" t="n"/>
      <c r="H86" s="6" t="n"/>
      <c r="I86" s="5" t="n"/>
      <c r="J86" s="5" t="n"/>
    </row>
    <row r="87">
      <c r="A87" s="5" t="n"/>
      <c r="B87" s="5" t="n"/>
      <c r="C87" s="5" t="n"/>
      <c r="D87" s="5" t="n"/>
      <c r="E87" s="5" t="n"/>
      <c r="F87" s="6" t="n"/>
      <c r="G87" s="6" t="n"/>
      <c r="H87" s="6" t="n"/>
      <c r="I87" s="5" t="n"/>
      <c r="J87" s="5" t="n"/>
    </row>
    <row r="88">
      <c r="A88" s="5" t="n"/>
      <c r="B88" s="5" t="n"/>
      <c r="C88" s="5" t="n"/>
      <c r="D88" s="5" t="n"/>
      <c r="E88" s="5" t="n"/>
      <c r="F88" s="6" t="n"/>
      <c r="G88" s="6" t="n"/>
      <c r="H88" s="6" t="n"/>
      <c r="I88" s="5" t="n"/>
      <c r="J88" s="5" t="n"/>
    </row>
    <row r="89">
      <c r="A89" s="5" t="n"/>
      <c r="B89" s="5" t="n"/>
      <c r="C89" s="5" t="n"/>
      <c r="D89" s="5" t="n"/>
      <c r="E89" s="5" t="n"/>
      <c r="F89" s="6" t="n"/>
      <c r="G89" s="6" t="n"/>
      <c r="H89" s="6" t="n"/>
      <c r="I89" s="5" t="n"/>
      <c r="J89" s="5" t="n"/>
    </row>
    <row r="90">
      <c r="A90" s="5" t="n"/>
      <c r="B90" s="5" t="n"/>
      <c r="C90" s="5" t="n"/>
      <c r="D90" s="5" t="n"/>
      <c r="E90" s="5" t="n"/>
      <c r="F90" s="6" t="n"/>
      <c r="G90" s="6" t="n"/>
      <c r="H90" s="6" t="n"/>
      <c r="I90" s="5" t="n"/>
      <c r="J90" s="5" t="n"/>
    </row>
    <row r="91">
      <c r="A91" s="5" t="n"/>
      <c r="B91" s="5" t="n"/>
      <c r="C91" s="5" t="n"/>
      <c r="D91" s="5" t="n"/>
      <c r="E91" s="5" t="n"/>
      <c r="F91" s="6" t="n"/>
      <c r="G91" s="6" t="n"/>
      <c r="H91" s="6" t="n"/>
      <c r="I91" s="5" t="n"/>
      <c r="J91" s="5" t="n"/>
    </row>
    <row r="92">
      <c r="A92" s="5" t="n"/>
      <c r="B92" s="5" t="n"/>
      <c r="C92" s="5" t="n"/>
      <c r="D92" s="5" t="n"/>
      <c r="E92" s="5" t="n"/>
      <c r="F92" s="6" t="n"/>
      <c r="G92" s="6" t="n"/>
      <c r="H92" s="6" t="n"/>
      <c r="I92" s="5" t="n"/>
      <c r="J92" s="5" t="n"/>
    </row>
    <row r="93">
      <c r="A93" s="5" t="n"/>
      <c r="B93" s="5" t="n"/>
      <c r="C93" s="5" t="n"/>
      <c r="D93" s="5" t="n"/>
      <c r="E93" s="5" t="n"/>
      <c r="F93" s="6" t="n"/>
      <c r="G93" s="6" t="n"/>
      <c r="H93" s="6" t="n"/>
      <c r="I93" s="5" t="n"/>
      <c r="J93" s="5" t="n"/>
    </row>
    <row r="94">
      <c r="A94" s="5" t="n"/>
      <c r="B94" s="5" t="n"/>
      <c r="C94" s="5" t="n"/>
      <c r="D94" s="5" t="n"/>
      <c r="E94" s="5" t="n"/>
      <c r="F94" s="6" t="n"/>
      <c r="G94" s="6" t="n"/>
      <c r="H94" s="6" t="n"/>
      <c r="I94" s="5" t="n"/>
      <c r="J94" s="5" t="n"/>
    </row>
    <row r="95">
      <c r="A95" s="5" t="n"/>
      <c r="B95" s="5" t="n"/>
      <c r="C95" s="5" t="n"/>
      <c r="D95" s="5" t="n"/>
      <c r="E95" s="5" t="n"/>
      <c r="F95" s="6" t="n"/>
      <c r="G95" s="6" t="n"/>
      <c r="H95" s="6" t="n"/>
      <c r="I95" s="5" t="n"/>
      <c r="J95" s="5" t="n"/>
    </row>
    <row r="96">
      <c r="A96" s="5" t="n"/>
      <c r="B96" s="5" t="n"/>
      <c r="C96" s="5" t="n"/>
      <c r="D96" s="5" t="n"/>
      <c r="E96" s="5" t="n"/>
      <c r="F96" s="6" t="n"/>
      <c r="G96" s="6" t="n"/>
      <c r="H96" s="6" t="n"/>
      <c r="I96" s="5" t="n"/>
      <c r="J96" s="5" t="n"/>
    </row>
    <row r="97">
      <c r="A97" s="5" t="n"/>
      <c r="B97" s="5" t="n"/>
      <c r="C97" s="5" t="n"/>
      <c r="D97" s="5" t="n"/>
      <c r="E97" s="5" t="n"/>
      <c r="F97" s="6" t="n"/>
      <c r="G97" s="6" t="n"/>
      <c r="H97" s="6" t="n"/>
      <c r="I97" s="5" t="n"/>
      <c r="J97" s="5" t="n"/>
    </row>
    <row r="98">
      <c r="A98" s="5" t="n"/>
      <c r="B98" s="5" t="n"/>
      <c r="C98" s="5" t="n"/>
      <c r="D98" s="5" t="n"/>
      <c r="E98" s="5" t="n"/>
      <c r="F98" s="6" t="n"/>
      <c r="G98" s="6" t="n"/>
      <c r="H98" s="6" t="n"/>
      <c r="I98" s="5" t="n"/>
      <c r="J98" s="5" t="n"/>
    </row>
    <row r="99">
      <c r="A99" s="5" t="n"/>
      <c r="B99" s="5" t="n"/>
      <c r="C99" s="5" t="n"/>
      <c r="D99" s="5" t="n"/>
      <c r="E99" s="5" t="n"/>
      <c r="F99" s="6" t="n"/>
      <c r="G99" s="6" t="n"/>
      <c r="H99" s="6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6" t="n"/>
      <c r="G100" s="6" t="n"/>
      <c r="H100" s="6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6" t="n"/>
      <c r="G101" s="6" t="n"/>
      <c r="H101" s="6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6" t="n"/>
      <c r="G102" s="6" t="n"/>
      <c r="H102" s="6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6" t="n"/>
      <c r="G103" s="6" t="n"/>
      <c r="H103" s="6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6" t="n"/>
      <c r="G104" s="6" t="n"/>
      <c r="H104" s="6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6" t="n"/>
      <c r="G105" s="6" t="n"/>
      <c r="H105" s="6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6" t="n"/>
      <c r="G106" s="6" t="n"/>
      <c r="H106" s="6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6" t="n"/>
      <c r="G107" s="6" t="n"/>
      <c r="H107" s="6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6" t="n"/>
      <c r="G108" s="6" t="n"/>
      <c r="H108" s="6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6" t="n"/>
      <c r="G109" s="6" t="n"/>
      <c r="H109" s="6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6" t="n"/>
      <c r="G110" s="6" t="n"/>
      <c r="H110" s="6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6" t="n"/>
      <c r="G111" s="6" t="n"/>
      <c r="H111" s="6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6" t="n"/>
      <c r="G112" s="6" t="n"/>
      <c r="H112" s="6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6" t="n"/>
      <c r="G113" s="6" t="n"/>
      <c r="H113" s="6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6" t="n"/>
      <c r="G114" s="6" t="n"/>
      <c r="H114" s="6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6" t="n"/>
      <c r="G115" s="6" t="n"/>
      <c r="H115" s="6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6" t="n"/>
      <c r="G116" s="6" t="n"/>
      <c r="H116" s="6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6" t="n"/>
      <c r="G117" s="6" t="n"/>
      <c r="H117" s="6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6" t="n"/>
      <c r="G118" s="6" t="n"/>
      <c r="H118" s="6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6" t="n"/>
      <c r="G119" s="6" t="n"/>
      <c r="H119" s="6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6" t="n"/>
      <c r="G120" s="6" t="n"/>
      <c r="H120" s="6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6" t="n"/>
      <c r="G121" s="6" t="n"/>
      <c r="H121" s="6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6" t="n"/>
      <c r="G122" s="6" t="n"/>
      <c r="H122" s="6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6" t="n"/>
      <c r="G123" s="6" t="n"/>
      <c r="H123" s="6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6" t="n"/>
      <c r="G124" s="6" t="n"/>
      <c r="H124" s="6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6" t="n"/>
      <c r="G125" s="6" t="n"/>
      <c r="H125" s="6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6" t="n"/>
      <c r="G126" s="6" t="n"/>
      <c r="H126" s="6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6" t="n"/>
      <c r="G127" s="6" t="n"/>
      <c r="H127" s="6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6" t="n"/>
      <c r="G128" s="6" t="n"/>
      <c r="H128" s="6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6" t="n"/>
      <c r="G129" s="6" t="n"/>
      <c r="H129" s="6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6" t="n"/>
      <c r="G130" s="6" t="n"/>
      <c r="H130" s="6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6" t="n"/>
      <c r="G131" s="6" t="n"/>
      <c r="H131" s="6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6" t="n"/>
      <c r="G132" s="6" t="n"/>
      <c r="H132" s="6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6" t="n"/>
      <c r="G133" s="6" t="n"/>
      <c r="H133" s="6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6" t="n"/>
      <c r="G134" s="6" t="n"/>
      <c r="H134" s="6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6" t="n"/>
      <c r="G135" s="6" t="n"/>
      <c r="H135" s="6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6" t="n"/>
      <c r="G136" s="6" t="n"/>
      <c r="H136" s="6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6" t="n"/>
      <c r="G137" s="6" t="n"/>
      <c r="H137" s="6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6" t="n"/>
      <c r="G138" s="6" t="n"/>
      <c r="H138" s="6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6" t="n"/>
      <c r="G139" s="6" t="n"/>
      <c r="H139" s="6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6" t="n"/>
      <c r="G140" s="6" t="n"/>
      <c r="H140" s="6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6" t="n"/>
      <c r="G141" s="6" t="n"/>
      <c r="H141" s="6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6" t="n"/>
      <c r="G142" s="6" t="n"/>
      <c r="H142" s="6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6" t="n"/>
      <c r="G143" s="6" t="n"/>
      <c r="H143" s="6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6" t="n"/>
      <c r="G144" s="6" t="n"/>
      <c r="H144" s="6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6" t="n"/>
      <c r="G145" s="6" t="n"/>
      <c r="H145" s="6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6" t="n"/>
      <c r="G146" s="6" t="n"/>
      <c r="H146" s="6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6" t="n"/>
      <c r="G147" s="6" t="n"/>
      <c r="H147" s="6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6" t="n"/>
      <c r="G148" s="6" t="n"/>
      <c r="H148" s="6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6" t="n"/>
      <c r="G149" s="6" t="n"/>
      <c r="H149" s="6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6" t="n"/>
      <c r="G150" s="6" t="n"/>
      <c r="H150" s="6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6" t="n"/>
      <c r="G151" s="6" t="n"/>
      <c r="H151" s="6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6" t="n"/>
      <c r="G152" s="6" t="n"/>
      <c r="H152" s="6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6" t="n"/>
      <c r="G153" s="6" t="n"/>
      <c r="H153" s="6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6" t="n"/>
      <c r="G154" s="6" t="n"/>
      <c r="H154" s="6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6" t="n"/>
      <c r="G155" s="6" t="n"/>
      <c r="H155" s="6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6" t="n"/>
      <c r="G156" s="6" t="n"/>
      <c r="H156" s="6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6" t="n"/>
      <c r="G157" s="6" t="n"/>
      <c r="H157" s="6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6" t="n"/>
      <c r="G158" s="6" t="n"/>
      <c r="H158" s="6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6" t="n"/>
      <c r="G159" s="6" t="n"/>
      <c r="H159" s="6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6" t="n"/>
      <c r="G160" s="6" t="n"/>
      <c r="H160" s="6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6" t="n"/>
      <c r="G161" s="6" t="n"/>
      <c r="H161" s="6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6" t="n"/>
      <c r="G162" s="6" t="n"/>
      <c r="H162" s="6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6" t="n"/>
      <c r="G163" s="6" t="n"/>
      <c r="H163" s="6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6" t="n"/>
      <c r="G164" s="6" t="n"/>
      <c r="H164" s="6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6" t="n"/>
      <c r="G165" s="6" t="n"/>
      <c r="H165" s="6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6" t="n"/>
      <c r="G166" s="6" t="n"/>
      <c r="H166" s="6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6" t="n"/>
      <c r="G167" s="6" t="n"/>
      <c r="H167" s="6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6" t="n"/>
      <c r="G168" s="6" t="n"/>
      <c r="H168" s="6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6" t="n"/>
      <c r="G169" s="6" t="n"/>
      <c r="H169" s="6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6" t="n"/>
      <c r="G170" s="6" t="n"/>
      <c r="H170" s="6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6" t="n"/>
      <c r="G171" s="6" t="n"/>
      <c r="H171" s="6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6" t="n"/>
      <c r="G172" s="6" t="n"/>
      <c r="H172" s="6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6" t="n"/>
      <c r="G173" s="6" t="n"/>
      <c r="H173" s="6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6" t="n"/>
      <c r="G174" s="6" t="n"/>
      <c r="H174" s="6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6" t="n"/>
      <c r="G175" s="6" t="n"/>
      <c r="H175" s="6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6" t="n"/>
      <c r="G176" s="6" t="n"/>
      <c r="H176" s="6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6" t="n"/>
      <c r="G177" s="6" t="n"/>
      <c r="H177" s="6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6" t="n"/>
      <c r="G178" s="6" t="n"/>
      <c r="H178" s="6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6" t="n"/>
      <c r="G179" s="6" t="n"/>
      <c r="H179" s="6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6" t="n"/>
      <c r="G180" s="6" t="n"/>
      <c r="H180" s="6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6" t="n"/>
      <c r="G181" s="6" t="n"/>
      <c r="H181" s="6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6" t="n"/>
      <c r="G182" s="6" t="n"/>
      <c r="H182" s="6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6" t="n"/>
      <c r="G183" s="6" t="n"/>
      <c r="H183" s="6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6" t="n"/>
      <c r="G184" s="6" t="n"/>
      <c r="H184" s="6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6" t="n"/>
      <c r="G185" s="6" t="n"/>
      <c r="H185" s="6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6" t="n"/>
      <c r="G186" s="6" t="n"/>
      <c r="H186" s="6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6" t="n"/>
      <c r="G187" s="6" t="n"/>
      <c r="H187" s="6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6" t="n"/>
      <c r="G188" s="6" t="n"/>
      <c r="H188" s="6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6" t="n"/>
      <c r="G189" s="6" t="n"/>
      <c r="H189" s="6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6" t="n"/>
      <c r="G190" s="6" t="n"/>
      <c r="H190" s="6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6" t="n"/>
      <c r="G191" s="6" t="n"/>
      <c r="H191" s="6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6" t="n"/>
      <c r="G192" s="6" t="n"/>
      <c r="H192" s="6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6" t="n"/>
      <c r="G193" s="6" t="n"/>
      <c r="H193" s="6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6" t="n"/>
      <c r="G194" s="6" t="n"/>
      <c r="H194" s="6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6" t="n"/>
      <c r="G195" s="6" t="n"/>
      <c r="H195" s="6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6" t="n"/>
      <c r="G196" s="6" t="n"/>
      <c r="H196" s="6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6" t="n"/>
      <c r="G197" s="6" t="n"/>
      <c r="H197" s="6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6" t="n"/>
      <c r="G198" s="6" t="n"/>
      <c r="H198" s="6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6" t="n"/>
      <c r="G199" s="6" t="n"/>
      <c r="H199" s="6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6" t="n"/>
      <c r="G200" s="6" t="n"/>
      <c r="H200" s="6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6" t="n"/>
      <c r="G201" s="6" t="n"/>
      <c r="H201" s="6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6" t="n"/>
      <c r="G202" s="6" t="n"/>
      <c r="H202" s="6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6" t="n"/>
      <c r="G203" s="6" t="n"/>
      <c r="H203" s="6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6" t="n"/>
      <c r="G204" s="6" t="n"/>
      <c r="H204" s="6" t="n"/>
      <c r="I204" s="5" t="n"/>
      <c r="J204" s="5" t="n"/>
    </row>
  </sheetData>
  <autoFilter ref="A3:J20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28" customWidth="1" min="5" max="5"/>
    <col width="15" customWidth="1" min="6" max="6"/>
    <col width="15" customWidth="1" min="7" max="7"/>
    <col width="15" customWidth="1" min="8" max="8"/>
    <col width="14" customWidth="1" min="9" max="9"/>
    <col width="28" customWidth="1" min="10" max="10"/>
  </cols>
  <sheetData>
    <row r="1">
      <c r="A1" s="1" t="inlineStr">
        <is>
          <t>Nyers adatok 2</t>
        </is>
      </c>
      <c r="F1" s="2" t="n"/>
      <c r="G1" s="2" t="n"/>
      <c r="H1" s="2" t="n"/>
    </row>
    <row r="2">
      <c r="F2" s="2" t="n"/>
      <c r="G2" s="2" t="n"/>
      <c r="H2" s="2" t="n"/>
    </row>
    <row r="3">
      <c r="A3" s="3" t="inlineStr">
        <is>
          <t>azonosító</t>
        </is>
      </c>
      <c r="B3" s="3" t="inlineStr">
        <is>
          <t>tól</t>
        </is>
      </c>
      <c r="C3" s="3" t="inlineStr">
        <is>
          <t>ig</t>
        </is>
      </c>
      <c r="D3" s="3" t="inlineStr">
        <is>
          <t>munkáltató</t>
        </is>
      </c>
      <c r="E3" s="3" t="inlineStr">
        <is>
          <t>jogviszony</t>
        </is>
      </c>
      <c r="F3" s="4" t="inlineStr">
        <is>
          <t>járulékalap</t>
        </is>
      </c>
      <c r="G3" s="4" t="inlineStr">
        <is>
          <t>nem_rendszeres</t>
        </is>
      </c>
      <c r="H3" s="4" t="inlineStr">
        <is>
          <t>járulék_összeg</t>
        </is>
      </c>
      <c r="I3" s="3" t="inlineStr">
        <is>
          <t>közölt_napok</t>
        </is>
      </c>
      <c r="J3" s="3" t="inlineStr">
        <is>
          <t>megjegyzés</t>
        </is>
      </c>
    </row>
    <row r="4">
      <c r="A4" s="5" t="n"/>
      <c r="B4" s="5" t="n"/>
      <c r="C4" s="5" t="n"/>
      <c r="D4" s="5" t="n"/>
      <c r="E4" s="5" t="n"/>
      <c r="F4" s="6" t="n"/>
      <c r="G4" s="6" t="n"/>
      <c r="H4" s="6" t="n"/>
      <c r="I4" s="5" t="n"/>
      <c r="J4" s="5" t="n"/>
    </row>
    <row r="5">
      <c r="A5" s="5" t="n"/>
      <c r="B5" s="5" t="n"/>
      <c r="C5" s="5" t="n"/>
      <c r="D5" s="5" t="n"/>
      <c r="E5" s="5" t="n"/>
      <c r="F5" s="6" t="n"/>
      <c r="G5" s="6" t="n"/>
      <c r="H5" s="6" t="n"/>
      <c r="I5" s="5" t="n"/>
      <c r="J5" s="5" t="n"/>
    </row>
    <row r="6">
      <c r="A6" s="5" t="n"/>
      <c r="B6" s="5" t="n"/>
      <c r="C6" s="5" t="n"/>
      <c r="D6" s="5" t="n"/>
      <c r="E6" s="5" t="n"/>
      <c r="F6" s="6" t="n"/>
      <c r="G6" s="6" t="n"/>
      <c r="H6" s="6" t="n"/>
      <c r="I6" s="5" t="n"/>
      <c r="J6" s="5" t="n"/>
    </row>
    <row r="7">
      <c r="A7" s="5" t="n"/>
      <c r="B7" s="5" t="n"/>
      <c r="C7" s="5" t="n"/>
      <c r="D7" s="5" t="n"/>
      <c r="E7" s="5" t="n"/>
      <c r="F7" s="6" t="n"/>
      <c r="G7" s="6" t="n"/>
      <c r="H7" s="6" t="n"/>
      <c r="I7" s="5" t="n"/>
      <c r="J7" s="5" t="n"/>
    </row>
    <row r="8">
      <c r="A8" s="5" t="n"/>
      <c r="B8" s="5" t="n"/>
      <c r="C8" s="5" t="n"/>
      <c r="D8" s="5" t="n"/>
      <c r="E8" s="5" t="n"/>
      <c r="F8" s="6" t="n"/>
      <c r="G8" s="6" t="n"/>
      <c r="H8" s="6" t="n"/>
      <c r="I8" s="5" t="n"/>
      <c r="J8" s="5" t="n"/>
    </row>
    <row r="9">
      <c r="A9" s="5" t="n"/>
      <c r="B9" s="5" t="n"/>
      <c r="C9" s="5" t="n"/>
      <c r="D9" s="5" t="n"/>
      <c r="E9" s="5" t="n"/>
      <c r="F9" s="6" t="n"/>
      <c r="G9" s="6" t="n"/>
      <c r="H9" s="6" t="n"/>
      <c r="I9" s="5" t="n"/>
      <c r="J9" s="5" t="n"/>
    </row>
    <row r="10">
      <c r="A10" s="5" t="n"/>
      <c r="B10" s="5" t="n"/>
      <c r="C10" s="5" t="n"/>
      <c r="D10" s="5" t="n"/>
      <c r="E10" s="5" t="n"/>
      <c r="F10" s="6" t="n"/>
      <c r="G10" s="6" t="n"/>
      <c r="H10" s="6" t="n"/>
      <c r="I10" s="5" t="n"/>
      <c r="J10" s="5" t="n"/>
    </row>
    <row r="11">
      <c r="A11" s="5" t="n"/>
      <c r="B11" s="5" t="n"/>
      <c r="C11" s="5" t="n"/>
      <c r="D11" s="5" t="n"/>
      <c r="E11" s="5" t="n"/>
      <c r="F11" s="6" t="n"/>
      <c r="G11" s="6" t="n"/>
      <c r="H11" s="6" t="n"/>
      <c r="I11" s="5" t="n"/>
      <c r="J11" s="5" t="n"/>
    </row>
    <row r="12">
      <c r="A12" s="5" t="n"/>
      <c r="B12" s="5" t="n"/>
      <c r="C12" s="5" t="n"/>
      <c r="D12" s="5" t="n"/>
      <c r="E12" s="5" t="n"/>
      <c r="F12" s="6" t="n"/>
      <c r="G12" s="6" t="n"/>
      <c r="H12" s="6" t="n"/>
      <c r="I12" s="5" t="n"/>
      <c r="J12" s="5" t="n"/>
    </row>
    <row r="13">
      <c r="A13" s="5" t="n"/>
      <c r="B13" s="5" t="n"/>
      <c r="C13" s="5" t="n"/>
      <c r="D13" s="5" t="n"/>
      <c r="E13" s="5" t="n"/>
      <c r="F13" s="6" t="n"/>
      <c r="G13" s="6" t="n"/>
      <c r="H13" s="6" t="n"/>
      <c r="I13" s="5" t="n"/>
      <c r="J13" s="5" t="n"/>
    </row>
    <row r="14">
      <c r="A14" s="5" t="n"/>
      <c r="B14" s="5" t="n"/>
      <c r="C14" s="5" t="n"/>
      <c r="D14" s="5" t="n"/>
      <c r="E14" s="5" t="n"/>
      <c r="F14" s="6" t="n"/>
      <c r="G14" s="6" t="n"/>
      <c r="H14" s="6" t="n"/>
      <c r="I14" s="5" t="n"/>
      <c r="J14" s="5" t="n"/>
    </row>
    <row r="15">
      <c r="A15" s="5" t="n"/>
      <c r="B15" s="5" t="n"/>
      <c r="C15" s="5" t="n"/>
      <c r="D15" s="5" t="n"/>
      <c r="E15" s="5" t="n"/>
      <c r="F15" s="6" t="n"/>
      <c r="G15" s="6" t="n"/>
      <c r="H15" s="6" t="n"/>
      <c r="I15" s="5" t="n"/>
      <c r="J15" s="5" t="n"/>
    </row>
    <row r="16">
      <c r="A16" s="5" t="n"/>
      <c r="B16" s="5" t="n"/>
      <c r="C16" s="5" t="n"/>
      <c r="D16" s="5" t="n"/>
      <c r="E16" s="5" t="n"/>
      <c r="F16" s="6" t="n"/>
      <c r="G16" s="6" t="n"/>
      <c r="H16" s="6" t="n"/>
      <c r="I16" s="5" t="n"/>
      <c r="J16" s="5" t="n"/>
    </row>
    <row r="17">
      <c r="A17" s="5" t="n"/>
      <c r="B17" s="5" t="n"/>
      <c r="C17" s="5" t="n"/>
      <c r="D17" s="5" t="n"/>
      <c r="E17" s="5" t="n"/>
      <c r="F17" s="6" t="n"/>
      <c r="G17" s="6" t="n"/>
      <c r="H17" s="6" t="n"/>
      <c r="I17" s="5" t="n"/>
      <c r="J17" s="5" t="n"/>
    </row>
    <row r="18">
      <c r="A18" s="5" t="n"/>
      <c r="B18" s="5" t="n"/>
      <c r="C18" s="5" t="n"/>
      <c r="D18" s="5" t="n"/>
      <c r="E18" s="5" t="n"/>
      <c r="F18" s="6" t="n"/>
      <c r="G18" s="6" t="n"/>
      <c r="H18" s="6" t="n"/>
      <c r="I18" s="5" t="n"/>
      <c r="J18" s="5" t="n"/>
    </row>
    <row r="19">
      <c r="A19" s="5" t="n"/>
      <c r="B19" s="5" t="n"/>
      <c r="C19" s="5" t="n"/>
      <c r="D19" s="5" t="n"/>
      <c r="E19" s="5" t="n"/>
      <c r="F19" s="6" t="n"/>
      <c r="G19" s="6" t="n"/>
      <c r="H19" s="6" t="n"/>
      <c r="I19" s="5" t="n"/>
      <c r="J19" s="5" t="n"/>
    </row>
    <row r="20">
      <c r="A20" s="5" t="n"/>
      <c r="B20" s="5" t="n"/>
      <c r="C20" s="5" t="n"/>
      <c r="D20" s="5" t="n"/>
      <c r="E20" s="5" t="n"/>
      <c r="F20" s="6" t="n"/>
      <c r="G20" s="6" t="n"/>
      <c r="H20" s="6" t="n"/>
      <c r="I20" s="5" t="n"/>
      <c r="J20" s="5" t="n"/>
    </row>
    <row r="21">
      <c r="A21" s="5" t="n"/>
      <c r="B21" s="5" t="n"/>
      <c r="C21" s="5" t="n"/>
      <c r="D21" s="5" t="n"/>
      <c r="E21" s="5" t="n"/>
      <c r="F21" s="6" t="n"/>
      <c r="G21" s="6" t="n"/>
      <c r="H21" s="6" t="n"/>
      <c r="I21" s="5" t="n"/>
      <c r="J21" s="5" t="n"/>
    </row>
    <row r="22">
      <c r="A22" s="5" t="n"/>
      <c r="B22" s="5" t="n"/>
      <c r="C22" s="5" t="n"/>
      <c r="D22" s="5" t="n"/>
      <c r="E22" s="5" t="n"/>
      <c r="F22" s="6" t="n"/>
      <c r="G22" s="6" t="n"/>
      <c r="H22" s="6" t="n"/>
      <c r="I22" s="5" t="n"/>
      <c r="J22" s="5" t="n"/>
    </row>
    <row r="23">
      <c r="A23" s="5" t="n"/>
      <c r="B23" s="5" t="n"/>
      <c r="C23" s="5" t="n"/>
      <c r="D23" s="5" t="n"/>
      <c r="E23" s="5" t="n"/>
      <c r="F23" s="6" t="n"/>
      <c r="G23" s="6" t="n"/>
      <c r="H23" s="6" t="n"/>
      <c r="I23" s="5" t="n"/>
      <c r="J23" s="5" t="n"/>
    </row>
    <row r="24">
      <c r="A24" s="5" t="n"/>
      <c r="B24" s="5" t="n"/>
      <c r="C24" s="5" t="n"/>
      <c r="D24" s="5" t="n"/>
      <c r="E24" s="5" t="n"/>
      <c r="F24" s="6" t="n"/>
      <c r="G24" s="6" t="n"/>
      <c r="H24" s="6" t="n"/>
      <c r="I24" s="5" t="n"/>
      <c r="J24" s="5" t="n"/>
    </row>
    <row r="25">
      <c r="A25" s="5" t="n"/>
      <c r="B25" s="5" t="n"/>
      <c r="C25" s="5" t="n"/>
      <c r="D25" s="5" t="n"/>
      <c r="E25" s="5" t="n"/>
      <c r="F25" s="6" t="n"/>
      <c r="G25" s="6" t="n"/>
      <c r="H25" s="6" t="n"/>
      <c r="I25" s="5" t="n"/>
      <c r="J25" s="5" t="n"/>
    </row>
    <row r="26">
      <c r="A26" s="5" t="n"/>
      <c r="B26" s="5" t="n"/>
      <c r="C26" s="5" t="n"/>
      <c r="D26" s="5" t="n"/>
      <c r="E26" s="5" t="n"/>
      <c r="F26" s="6" t="n"/>
      <c r="G26" s="6" t="n"/>
      <c r="H26" s="6" t="n"/>
      <c r="I26" s="5" t="n"/>
      <c r="J26" s="5" t="n"/>
    </row>
    <row r="27">
      <c r="A27" s="5" t="n"/>
      <c r="B27" s="5" t="n"/>
      <c r="C27" s="5" t="n"/>
      <c r="D27" s="5" t="n"/>
      <c r="E27" s="5" t="n"/>
      <c r="F27" s="6" t="n"/>
      <c r="G27" s="6" t="n"/>
      <c r="H27" s="6" t="n"/>
      <c r="I27" s="5" t="n"/>
      <c r="J27" s="5" t="n"/>
    </row>
    <row r="28">
      <c r="A28" s="5" t="n"/>
      <c r="B28" s="5" t="n"/>
      <c r="C28" s="5" t="n"/>
      <c r="D28" s="5" t="n"/>
      <c r="E28" s="5" t="n"/>
      <c r="F28" s="6" t="n"/>
      <c r="G28" s="6" t="n"/>
      <c r="H28" s="6" t="n"/>
      <c r="I28" s="5" t="n"/>
      <c r="J28" s="5" t="n"/>
    </row>
    <row r="29">
      <c r="A29" s="5" t="n"/>
      <c r="B29" s="5" t="n"/>
      <c r="C29" s="5" t="n"/>
      <c r="D29" s="5" t="n"/>
      <c r="E29" s="5" t="n"/>
      <c r="F29" s="6" t="n"/>
      <c r="G29" s="6" t="n"/>
      <c r="H29" s="6" t="n"/>
      <c r="I29" s="5" t="n"/>
      <c r="J29" s="5" t="n"/>
    </row>
    <row r="30">
      <c r="A30" s="5" t="n"/>
      <c r="B30" s="5" t="n"/>
      <c r="C30" s="5" t="n"/>
      <c r="D30" s="5" t="n"/>
      <c r="E30" s="5" t="n"/>
      <c r="F30" s="6" t="n"/>
      <c r="G30" s="6" t="n"/>
      <c r="H30" s="6" t="n"/>
      <c r="I30" s="5" t="n"/>
      <c r="J30" s="5" t="n"/>
    </row>
    <row r="31">
      <c r="A31" s="5" t="n"/>
      <c r="B31" s="5" t="n"/>
      <c r="C31" s="5" t="n"/>
      <c r="D31" s="5" t="n"/>
      <c r="E31" s="5" t="n"/>
      <c r="F31" s="6" t="n"/>
      <c r="G31" s="6" t="n"/>
      <c r="H31" s="6" t="n"/>
      <c r="I31" s="5" t="n"/>
      <c r="J31" s="5" t="n"/>
    </row>
    <row r="32">
      <c r="A32" s="5" t="n"/>
      <c r="B32" s="5" t="n"/>
      <c r="C32" s="5" t="n"/>
      <c r="D32" s="5" t="n"/>
      <c r="E32" s="5" t="n"/>
      <c r="F32" s="6" t="n"/>
      <c r="G32" s="6" t="n"/>
      <c r="H32" s="6" t="n"/>
      <c r="I32" s="5" t="n"/>
      <c r="J32" s="5" t="n"/>
    </row>
    <row r="33">
      <c r="A33" s="5" t="n"/>
      <c r="B33" s="5" t="n"/>
      <c r="C33" s="5" t="n"/>
      <c r="D33" s="5" t="n"/>
      <c r="E33" s="5" t="n"/>
      <c r="F33" s="6" t="n"/>
      <c r="G33" s="6" t="n"/>
      <c r="H33" s="6" t="n"/>
      <c r="I33" s="5" t="n"/>
      <c r="J33" s="5" t="n"/>
    </row>
    <row r="34">
      <c r="A34" s="5" t="n"/>
      <c r="B34" s="5" t="n"/>
      <c r="C34" s="5" t="n"/>
      <c r="D34" s="5" t="n"/>
      <c r="E34" s="5" t="n"/>
      <c r="F34" s="6" t="n"/>
      <c r="G34" s="6" t="n"/>
      <c r="H34" s="6" t="n"/>
      <c r="I34" s="5" t="n"/>
      <c r="J34" s="5" t="n"/>
    </row>
    <row r="35">
      <c r="A35" s="5" t="n"/>
      <c r="B35" s="5" t="n"/>
      <c r="C35" s="5" t="n"/>
      <c r="D35" s="5" t="n"/>
      <c r="E35" s="5" t="n"/>
      <c r="F35" s="6" t="n"/>
      <c r="G35" s="6" t="n"/>
      <c r="H35" s="6" t="n"/>
      <c r="I35" s="5" t="n"/>
      <c r="J35" s="5" t="n"/>
    </row>
    <row r="36">
      <c r="A36" s="5" t="n"/>
      <c r="B36" s="5" t="n"/>
      <c r="C36" s="5" t="n"/>
      <c r="D36" s="5" t="n"/>
      <c r="E36" s="5" t="n"/>
      <c r="F36" s="6" t="n"/>
      <c r="G36" s="6" t="n"/>
      <c r="H36" s="6" t="n"/>
      <c r="I36" s="5" t="n"/>
      <c r="J36" s="5" t="n"/>
    </row>
    <row r="37">
      <c r="A37" s="5" t="n"/>
      <c r="B37" s="5" t="n"/>
      <c r="C37" s="5" t="n"/>
      <c r="D37" s="5" t="n"/>
      <c r="E37" s="5" t="n"/>
      <c r="F37" s="6" t="n"/>
      <c r="G37" s="6" t="n"/>
      <c r="H37" s="6" t="n"/>
      <c r="I37" s="5" t="n"/>
      <c r="J37" s="5" t="n"/>
    </row>
    <row r="38">
      <c r="A38" s="5" t="n"/>
      <c r="B38" s="5" t="n"/>
      <c r="C38" s="5" t="n"/>
      <c r="D38" s="5" t="n"/>
      <c r="E38" s="5" t="n"/>
      <c r="F38" s="6" t="n"/>
      <c r="G38" s="6" t="n"/>
      <c r="H38" s="6" t="n"/>
      <c r="I38" s="5" t="n"/>
      <c r="J38" s="5" t="n"/>
    </row>
    <row r="39">
      <c r="A39" s="5" t="n"/>
      <c r="B39" s="5" t="n"/>
      <c r="C39" s="5" t="n"/>
      <c r="D39" s="5" t="n"/>
      <c r="E39" s="5" t="n"/>
      <c r="F39" s="6" t="n"/>
      <c r="G39" s="6" t="n"/>
      <c r="H39" s="6" t="n"/>
      <c r="I39" s="5" t="n"/>
      <c r="J39" s="5" t="n"/>
    </row>
    <row r="40">
      <c r="A40" s="5" t="n"/>
      <c r="B40" s="5" t="n"/>
      <c r="C40" s="5" t="n"/>
      <c r="D40" s="5" t="n"/>
      <c r="E40" s="5" t="n"/>
      <c r="F40" s="6" t="n"/>
      <c r="G40" s="6" t="n"/>
      <c r="H40" s="6" t="n"/>
      <c r="I40" s="5" t="n"/>
      <c r="J40" s="5" t="n"/>
    </row>
    <row r="41">
      <c r="A41" s="5" t="n"/>
      <c r="B41" s="5" t="n"/>
      <c r="C41" s="5" t="n"/>
      <c r="D41" s="5" t="n"/>
      <c r="E41" s="5" t="n"/>
      <c r="F41" s="6" t="n"/>
      <c r="G41" s="6" t="n"/>
      <c r="H41" s="6" t="n"/>
      <c r="I41" s="5" t="n"/>
      <c r="J41" s="5" t="n"/>
    </row>
    <row r="42">
      <c r="A42" s="5" t="n"/>
      <c r="B42" s="5" t="n"/>
      <c r="C42" s="5" t="n"/>
      <c r="D42" s="5" t="n"/>
      <c r="E42" s="5" t="n"/>
      <c r="F42" s="6" t="n"/>
      <c r="G42" s="6" t="n"/>
      <c r="H42" s="6" t="n"/>
      <c r="I42" s="5" t="n"/>
      <c r="J42" s="5" t="n"/>
    </row>
    <row r="43">
      <c r="A43" s="5" t="n"/>
      <c r="B43" s="5" t="n"/>
      <c r="C43" s="5" t="n"/>
      <c r="D43" s="5" t="n"/>
      <c r="E43" s="5" t="n"/>
      <c r="F43" s="6" t="n"/>
      <c r="G43" s="6" t="n"/>
      <c r="H43" s="6" t="n"/>
      <c r="I43" s="5" t="n"/>
      <c r="J43" s="5" t="n"/>
    </row>
    <row r="44">
      <c r="A44" s="5" t="n"/>
      <c r="B44" s="5" t="n"/>
      <c r="C44" s="5" t="n"/>
      <c r="D44" s="5" t="n"/>
      <c r="E44" s="5" t="n"/>
      <c r="F44" s="6" t="n"/>
      <c r="G44" s="6" t="n"/>
      <c r="H44" s="6" t="n"/>
      <c r="I44" s="5" t="n"/>
      <c r="J44" s="5" t="n"/>
    </row>
    <row r="45">
      <c r="A45" s="5" t="n"/>
      <c r="B45" s="5" t="n"/>
      <c r="C45" s="5" t="n"/>
      <c r="D45" s="5" t="n"/>
      <c r="E45" s="5" t="n"/>
      <c r="F45" s="6" t="n"/>
      <c r="G45" s="6" t="n"/>
      <c r="H45" s="6" t="n"/>
      <c r="I45" s="5" t="n"/>
      <c r="J45" s="5" t="n"/>
    </row>
    <row r="46">
      <c r="A46" s="5" t="n"/>
      <c r="B46" s="5" t="n"/>
      <c r="C46" s="5" t="n"/>
      <c r="D46" s="5" t="n"/>
      <c r="E46" s="5" t="n"/>
      <c r="F46" s="6" t="n"/>
      <c r="G46" s="6" t="n"/>
      <c r="H46" s="6" t="n"/>
      <c r="I46" s="5" t="n"/>
      <c r="J46" s="5" t="n"/>
    </row>
    <row r="47">
      <c r="A47" s="5" t="n"/>
      <c r="B47" s="5" t="n"/>
      <c r="C47" s="5" t="n"/>
      <c r="D47" s="5" t="n"/>
      <c r="E47" s="5" t="n"/>
      <c r="F47" s="6" t="n"/>
      <c r="G47" s="6" t="n"/>
      <c r="H47" s="6" t="n"/>
      <c r="I47" s="5" t="n"/>
      <c r="J47" s="5" t="n"/>
    </row>
    <row r="48">
      <c r="A48" s="5" t="n"/>
      <c r="B48" s="5" t="n"/>
      <c r="C48" s="5" t="n"/>
      <c r="D48" s="5" t="n"/>
      <c r="E48" s="5" t="n"/>
      <c r="F48" s="6" t="n"/>
      <c r="G48" s="6" t="n"/>
      <c r="H48" s="6" t="n"/>
      <c r="I48" s="5" t="n"/>
      <c r="J48" s="5" t="n"/>
    </row>
    <row r="49">
      <c r="A49" s="5" t="n"/>
      <c r="B49" s="5" t="n"/>
      <c r="C49" s="5" t="n"/>
      <c r="D49" s="5" t="n"/>
      <c r="E49" s="5" t="n"/>
      <c r="F49" s="6" t="n"/>
      <c r="G49" s="6" t="n"/>
      <c r="H49" s="6" t="n"/>
      <c r="I49" s="5" t="n"/>
      <c r="J49" s="5" t="n"/>
    </row>
    <row r="50">
      <c r="A50" s="5" t="n"/>
      <c r="B50" s="5" t="n"/>
      <c r="C50" s="5" t="n"/>
      <c r="D50" s="5" t="n"/>
      <c r="E50" s="5" t="n"/>
      <c r="F50" s="6" t="n"/>
      <c r="G50" s="6" t="n"/>
      <c r="H50" s="6" t="n"/>
      <c r="I50" s="5" t="n"/>
      <c r="J50" s="5" t="n"/>
    </row>
    <row r="51">
      <c r="A51" s="5" t="n"/>
      <c r="B51" s="5" t="n"/>
      <c r="C51" s="5" t="n"/>
      <c r="D51" s="5" t="n"/>
      <c r="E51" s="5" t="n"/>
      <c r="F51" s="6" t="n"/>
      <c r="G51" s="6" t="n"/>
      <c r="H51" s="6" t="n"/>
      <c r="I51" s="5" t="n"/>
      <c r="J51" s="5" t="n"/>
    </row>
    <row r="52">
      <c r="A52" s="5" t="n"/>
      <c r="B52" s="5" t="n"/>
      <c r="C52" s="5" t="n"/>
      <c r="D52" s="5" t="n"/>
      <c r="E52" s="5" t="n"/>
      <c r="F52" s="6" t="n"/>
      <c r="G52" s="6" t="n"/>
      <c r="H52" s="6" t="n"/>
      <c r="I52" s="5" t="n"/>
      <c r="J52" s="5" t="n"/>
    </row>
    <row r="53">
      <c r="A53" s="5" t="n"/>
      <c r="B53" s="5" t="n"/>
      <c r="C53" s="5" t="n"/>
      <c r="D53" s="5" t="n"/>
      <c r="E53" s="5" t="n"/>
      <c r="F53" s="6" t="n"/>
      <c r="G53" s="6" t="n"/>
      <c r="H53" s="6" t="n"/>
      <c r="I53" s="5" t="n"/>
      <c r="J53" s="5" t="n"/>
    </row>
    <row r="54">
      <c r="A54" s="5" t="n"/>
      <c r="B54" s="5" t="n"/>
      <c r="C54" s="5" t="n"/>
      <c r="D54" s="5" t="n"/>
      <c r="E54" s="5" t="n"/>
      <c r="F54" s="6" t="n"/>
      <c r="G54" s="6" t="n"/>
      <c r="H54" s="6" t="n"/>
      <c r="I54" s="5" t="n"/>
      <c r="J54" s="5" t="n"/>
    </row>
    <row r="55">
      <c r="A55" s="5" t="n"/>
      <c r="B55" s="5" t="n"/>
      <c r="C55" s="5" t="n"/>
      <c r="D55" s="5" t="n"/>
      <c r="E55" s="5" t="n"/>
      <c r="F55" s="6" t="n"/>
      <c r="G55" s="6" t="n"/>
      <c r="H55" s="6" t="n"/>
      <c r="I55" s="5" t="n"/>
      <c r="J55" s="5" t="n"/>
    </row>
    <row r="56">
      <c r="A56" s="5" t="n"/>
      <c r="B56" s="5" t="n"/>
      <c r="C56" s="5" t="n"/>
      <c r="D56" s="5" t="n"/>
      <c r="E56" s="5" t="n"/>
      <c r="F56" s="6" t="n"/>
      <c r="G56" s="6" t="n"/>
      <c r="H56" s="6" t="n"/>
      <c r="I56" s="5" t="n"/>
      <c r="J56" s="5" t="n"/>
    </row>
    <row r="57">
      <c r="A57" s="5" t="n"/>
      <c r="B57" s="5" t="n"/>
      <c r="C57" s="5" t="n"/>
      <c r="D57" s="5" t="n"/>
      <c r="E57" s="5" t="n"/>
      <c r="F57" s="6" t="n"/>
      <c r="G57" s="6" t="n"/>
      <c r="H57" s="6" t="n"/>
      <c r="I57" s="5" t="n"/>
      <c r="J57" s="5" t="n"/>
    </row>
    <row r="58">
      <c r="A58" s="5" t="n"/>
      <c r="B58" s="5" t="n"/>
      <c r="C58" s="5" t="n"/>
      <c r="D58" s="5" t="n"/>
      <c r="E58" s="5" t="n"/>
      <c r="F58" s="6" t="n"/>
      <c r="G58" s="6" t="n"/>
      <c r="H58" s="6" t="n"/>
      <c r="I58" s="5" t="n"/>
      <c r="J58" s="5" t="n"/>
    </row>
    <row r="59">
      <c r="A59" s="5" t="n"/>
      <c r="B59" s="5" t="n"/>
      <c r="C59" s="5" t="n"/>
      <c r="D59" s="5" t="n"/>
      <c r="E59" s="5" t="n"/>
      <c r="F59" s="6" t="n"/>
      <c r="G59" s="6" t="n"/>
      <c r="H59" s="6" t="n"/>
      <c r="I59" s="5" t="n"/>
      <c r="J59" s="5" t="n"/>
    </row>
    <row r="60">
      <c r="A60" s="5" t="n"/>
      <c r="B60" s="5" t="n"/>
      <c r="C60" s="5" t="n"/>
      <c r="D60" s="5" t="n"/>
      <c r="E60" s="5" t="n"/>
      <c r="F60" s="6" t="n"/>
      <c r="G60" s="6" t="n"/>
      <c r="H60" s="6" t="n"/>
      <c r="I60" s="5" t="n"/>
      <c r="J60" s="5" t="n"/>
    </row>
    <row r="61">
      <c r="A61" s="5" t="n"/>
      <c r="B61" s="5" t="n"/>
      <c r="C61" s="5" t="n"/>
      <c r="D61" s="5" t="n"/>
      <c r="E61" s="5" t="n"/>
      <c r="F61" s="6" t="n"/>
      <c r="G61" s="6" t="n"/>
      <c r="H61" s="6" t="n"/>
      <c r="I61" s="5" t="n"/>
      <c r="J61" s="5" t="n"/>
    </row>
    <row r="62">
      <c r="A62" s="5" t="n"/>
      <c r="B62" s="5" t="n"/>
      <c r="C62" s="5" t="n"/>
      <c r="D62" s="5" t="n"/>
      <c r="E62" s="5" t="n"/>
      <c r="F62" s="6" t="n"/>
      <c r="G62" s="6" t="n"/>
      <c r="H62" s="6" t="n"/>
      <c r="I62" s="5" t="n"/>
      <c r="J62" s="5" t="n"/>
    </row>
    <row r="63">
      <c r="A63" s="5" t="n"/>
      <c r="B63" s="5" t="n"/>
      <c r="C63" s="5" t="n"/>
      <c r="D63" s="5" t="n"/>
      <c r="E63" s="5" t="n"/>
      <c r="F63" s="6" t="n"/>
      <c r="G63" s="6" t="n"/>
      <c r="H63" s="6" t="n"/>
      <c r="I63" s="5" t="n"/>
      <c r="J63" s="5" t="n"/>
    </row>
    <row r="64">
      <c r="A64" s="5" t="n"/>
      <c r="B64" s="5" t="n"/>
      <c r="C64" s="5" t="n"/>
      <c r="D64" s="5" t="n"/>
      <c r="E64" s="5" t="n"/>
      <c r="F64" s="6" t="n"/>
      <c r="G64" s="6" t="n"/>
      <c r="H64" s="6" t="n"/>
      <c r="I64" s="5" t="n"/>
      <c r="J64" s="5" t="n"/>
    </row>
    <row r="65">
      <c r="A65" s="5" t="n"/>
      <c r="B65" s="5" t="n"/>
      <c r="C65" s="5" t="n"/>
      <c r="D65" s="5" t="n"/>
      <c r="E65" s="5" t="n"/>
      <c r="F65" s="6" t="n"/>
      <c r="G65" s="6" t="n"/>
      <c r="H65" s="6" t="n"/>
      <c r="I65" s="5" t="n"/>
      <c r="J65" s="5" t="n"/>
    </row>
    <row r="66">
      <c r="A66" s="5" t="n"/>
      <c r="B66" s="5" t="n"/>
      <c r="C66" s="5" t="n"/>
      <c r="D66" s="5" t="n"/>
      <c r="E66" s="5" t="n"/>
      <c r="F66" s="6" t="n"/>
      <c r="G66" s="6" t="n"/>
      <c r="H66" s="6" t="n"/>
      <c r="I66" s="5" t="n"/>
      <c r="J66" s="5" t="n"/>
    </row>
    <row r="67">
      <c r="A67" s="5" t="n"/>
      <c r="B67" s="5" t="n"/>
      <c r="C67" s="5" t="n"/>
      <c r="D67" s="5" t="n"/>
      <c r="E67" s="5" t="n"/>
      <c r="F67" s="6" t="n"/>
      <c r="G67" s="6" t="n"/>
      <c r="H67" s="6" t="n"/>
      <c r="I67" s="5" t="n"/>
      <c r="J67" s="5" t="n"/>
    </row>
    <row r="68">
      <c r="A68" s="5" t="n"/>
      <c r="B68" s="5" t="n"/>
      <c r="C68" s="5" t="n"/>
      <c r="D68" s="5" t="n"/>
      <c r="E68" s="5" t="n"/>
      <c r="F68" s="6" t="n"/>
      <c r="G68" s="6" t="n"/>
      <c r="H68" s="6" t="n"/>
      <c r="I68" s="5" t="n"/>
      <c r="J68" s="5" t="n"/>
    </row>
    <row r="69">
      <c r="A69" s="5" t="n"/>
      <c r="B69" s="5" t="n"/>
      <c r="C69" s="5" t="n"/>
      <c r="D69" s="5" t="n"/>
      <c r="E69" s="5" t="n"/>
      <c r="F69" s="6" t="n"/>
      <c r="G69" s="6" t="n"/>
      <c r="H69" s="6" t="n"/>
      <c r="I69" s="5" t="n"/>
      <c r="J69" s="5" t="n"/>
    </row>
    <row r="70">
      <c r="A70" s="5" t="n"/>
      <c r="B70" s="5" t="n"/>
      <c r="C70" s="5" t="n"/>
      <c r="D70" s="5" t="n"/>
      <c r="E70" s="5" t="n"/>
      <c r="F70" s="6" t="n"/>
      <c r="G70" s="6" t="n"/>
      <c r="H70" s="6" t="n"/>
      <c r="I70" s="5" t="n"/>
      <c r="J70" s="5" t="n"/>
    </row>
    <row r="71">
      <c r="A71" s="5" t="n"/>
      <c r="B71" s="5" t="n"/>
      <c r="C71" s="5" t="n"/>
      <c r="D71" s="5" t="n"/>
      <c r="E71" s="5" t="n"/>
      <c r="F71" s="6" t="n"/>
      <c r="G71" s="6" t="n"/>
      <c r="H71" s="6" t="n"/>
      <c r="I71" s="5" t="n"/>
      <c r="J71" s="5" t="n"/>
    </row>
    <row r="72">
      <c r="A72" s="5" t="n"/>
      <c r="B72" s="5" t="n"/>
      <c r="C72" s="5" t="n"/>
      <c r="D72" s="5" t="n"/>
      <c r="E72" s="5" t="n"/>
      <c r="F72" s="6" t="n"/>
      <c r="G72" s="6" t="n"/>
      <c r="H72" s="6" t="n"/>
      <c r="I72" s="5" t="n"/>
      <c r="J72" s="5" t="n"/>
    </row>
    <row r="73">
      <c r="A73" s="5" t="n"/>
      <c r="B73" s="5" t="n"/>
      <c r="C73" s="5" t="n"/>
      <c r="D73" s="5" t="n"/>
      <c r="E73" s="5" t="n"/>
      <c r="F73" s="6" t="n"/>
      <c r="G73" s="6" t="n"/>
      <c r="H73" s="6" t="n"/>
      <c r="I73" s="5" t="n"/>
      <c r="J73" s="5" t="n"/>
    </row>
    <row r="74">
      <c r="A74" s="5" t="n"/>
      <c r="B74" s="5" t="n"/>
      <c r="C74" s="5" t="n"/>
      <c r="D74" s="5" t="n"/>
      <c r="E74" s="5" t="n"/>
      <c r="F74" s="6" t="n"/>
      <c r="G74" s="6" t="n"/>
      <c r="H74" s="6" t="n"/>
      <c r="I74" s="5" t="n"/>
      <c r="J74" s="5" t="n"/>
    </row>
    <row r="75">
      <c r="A75" s="5" t="n"/>
      <c r="B75" s="5" t="n"/>
      <c r="C75" s="5" t="n"/>
      <c r="D75" s="5" t="n"/>
      <c r="E75" s="5" t="n"/>
      <c r="F75" s="6" t="n"/>
      <c r="G75" s="6" t="n"/>
      <c r="H75" s="6" t="n"/>
      <c r="I75" s="5" t="n"/>
      <c r="J75" s="5" t="n"/>
    </row>
    <row r="76">
      <c r="A76" s="5" t="n"/>
      <c r="B76" s="5" t="n"/>
      <c r="C76" s="5" t="n"/>
      <c r="D76" s="5" t="n"/>
      <c r="E76" s="5" t="n"/>
      <c r="F76" s="6" t="n"/>
      <c r="G76" s="6" t="n"/>
      <c r="H76" s="6" t="n"/>
      <c r="I76" s="5" t="n"/>
      <c r="J76" s="5" t="n"/>
    </row>
    <row r="77">
      <c r="A77" s="5" t="n"/>
      <c r="B77" s="5" t="n"/>
      <c r="C77" s="5" t="n"/>
      <c r="D77" s="5" t="n"/>
      <c r="E77" s="5" t="n"/>
      <c r="F77" s="6" t="n"/>
      <c r="G77" s="6" t="n"/>
      <c r="H77" s="6" t="n"/>
      <c r="I77" s="5" t="n"/>
      <c r="J77" s="5" t="n"/>
    </row>
    <row r="78">
      <c r="A78" s="5" t="n"/>
      <c r="B78" s="5" t="n"/>
      <c r="C78" s="5" t="n"/>
      <c r="D78" s="5" t="n"/>
      <c r="E78" s="5" t="n"/>
      <c r="F78" s="6" t="n"/>
      <c r="G78" s="6" t="n"/>
      <c r="H78" s="6" t="n"/>
      <c r="I78" s="5" t="n"/>
      <c r="J78" s="5" t="n"/>
    </row>
    <row r="79">
      <c r="A79" s="5" t="n"/>
      <c r="B79" s="5" t="n"/>
      <c r="C79" s="5" t="n"/>
      <c r="D79" s="5" t="n"/>
      <c r="E79" s="5" t="n"/>
      <c r="F79" s="6" t="n"/>
      <c r="G79" s="6" t="n"/>
      <c r="H79" s="6" t="n"/>
      <c r="I79" s="5" t="n"/>
      <c r="J79" s="5" t="n"/>
    </row>
    <row r="80">
      <c r="A80" s="5" t="n"/>
      <c r="B80" s="5" t="n"/>
      <c r="C80" s="5" t="n"/>
      <c r="D80" s="5" t="n"/>
      <c r="E80" s="5" t="n"/>
      <c r="F80" s="6" t="n"/>
      <c r="G80" s="6" t="n"/>
      <c r="H80" s="6" t="n"/>
      <c r="I80" s="5" t="n"/>
      <c r="J80" s="5" t="n"/>
    </row>
    <row r="81">
      <c r="A81" s="5" t="n"/>
      <c r="B81" s="5" t="n"/>
      <c r="C81" s="5" t="n"/>
      <c r="D81" s="5" t="n"/>
      <c r="E81" s="5" t="n"/>
      <c r="F81" s="6" t="n"/>
      <c r="G81" s="6" t="n"/>
      <c r="H81" s="6" t="n"/>
      <c r="I81" s="5" t="n"/>
      <c r="J81" s="5" t="n"/>
    </row>
    <row r="82">
      <c r="A82" s="5" t="n"/>
      <c r="B82" s="5" t="n"/>
      <c r="C82" s="5" t="n"/>
      <c r="D82" s="5" t="n"/>
      <c r="E82" s="5" t="n"/>
      <c r="F82" s="6" t="n"/>
      <c r="G82" s="6" t="n"/>
      <c r="H82" s="6" t="n"/>
      <c r="I82" s="5" t="n"/>
      <c r="J82" s="5" t="n"/>
    </row>
    <row r="83">
      <c r="A83" s="5" t="n"/>
      <c r="B83" s="5" t="n"/>
      <c r="C83" s="5" t="n"/>
      <c r="D83" s="5" t="n"/>
      <c r="E83" s="5" t="n"/>
      <c r="F83" s="6" t="n"/>
      <c r="G83" s="6" t="n"/>
      <c r="H83" s="6" t="n"/>
      <c r="I83" s="5" t="n"/>
      <c r="J83" s="5" t="n"/>
    </row>
    <row r="84">
      <c r="A84" s="5" t="n"/>
      <c r="B84" s="5" t="n"/>
      <c r="C84" s="5" t="n"/>
      <c r="D84" s="5" t="n"/>
      <c r="E84" s="5" t="n"/>
      <c r="F84" s="6" t="n"/>
      <c r="G84" s="6" t="n"/>
      <c r="H84" s="6" t="n"/>
      <c r="I84" s="5" t="n"/>
      <c r="J84" s="5" t="n"/>
    </row>
    <row r="85">
      <c r="A85" s="5" t="n"/>
      <c r="B85" s="5" t="n"/>
      <c r="C85" s="5" t="n"/>
      <c r="D85" s="5" t="n"/>
      <c r="E85" s="5" t="n"/>
      <c r="F85" s="6" t="n"/>
      <c r="G85" s="6" t="n"/>
      <c r="H85" s="6" t="n"/>
      <c r="I85" s="5" t="n"/>
      <c r="J85" s="5" t="n"/>
    </row>
    <row r="86">
      <c r="A86" s="5" t="n"/>
      <c r="B86" s="5" t="n"/>
      <c r="C86" s="5" t="n"/>
      <c r="D86" s="5" t="n"/>
      <c r="E86" s="5" t="n"/>
      <c r="F86" s="6" t="n"/>
      <c r="G86" s="6" t="n"/>
      <c r="H86" s="6" t="n"/>
      <c r="I86" s="5" t="n"/>
      <c r="J86" s="5" t="n"/>
    </row>
    <row r="87">
      <c r="A87" s="5" t="n"/>
      <c r="B87" s="5" t="n"/>
      <c r="C87" s="5" t="n"/>
      <c r="D87" s="5" t="n"/>
      <c r="E87" s="5" t="n"/>
      <c r="F87" s="6" t="n"/>
      <c r="G87" s="6" t="n"/>
      <c r="H87" s="6" t="n"/>
      <c r="I87" s="5" t="n"/>
      <c r="J87" s="5" t="n"/>
    </row>
    <row r="88">
      <c r="A88" s="5" t="n"/>
      <c r="B88" s="5" t="n"/>
      <c r="C88" s="5" t="n"/>
      <c r="D88" s="5" t="n"/>
      <c r="E88" s="5" t="n"/>
      <c r="F88" s="6" t="n"/>
      <c r="G88" s="6" t="n"/>
      <c r="H88" s="6" t="n"/>
      <c r="I88" s="5" t="n"/>
      <c r="J88" s="5" t="n"/>
    </row>
    <row r="89">
      <c r="A89" s="5" t="n"/>
      <c r="B89" s="5" t="n"/>
      <c r="C89" s="5" t="n"/>
      <c r="D89" s="5" t="n"/>
      <c r="E89" s="5" t="n"/>
      <c r="F89" s="6" t="n"/>
      <c r="G89" s="6" t="n"/>
      <c r="H89" s="6" t="n"/>
      <c r="I89" s="5" t="n"/>
      <c r="J89" s="5" t="n"/>
    </row>
    <row r="90">
      <c r="A90" s="5" t="n"/>
      <c r="B90" s="5" t="n"/>
      <c r="C90" s="5" t="n"/>
      <c r="D90" s="5" t="n"/>
      <c r="E90" s="5" t="n"/>
      <c r="F90" s="6" t="n"/>
      <c r="G90" s="6" t="n"/>
      <c r="H90" s="6" t="n"/>
      <c r="I90" s="5" t="n"/>
      <c r="J90" s="5" t="n"/>
    </row>
    <row r="91">
      <c r="A91" s="5" t="n"/>
      <c r="B91" s="5" t="n"/>
      <c r="C91" s="5" t="n"/>
      <c r="D91" s="5" t="n"/>
      <c r="E91" s="5" t="n"/>
      <c r="F91" s="6" t="n"/>
      <c r="G91" s="6" t="n"/>
      <c r="H91" s="6" t="n"/>
      <c r="I91" s="5" t="n"/>
      <c r="J91" s="5" t="n"/>
    </row>
    <row r="92">
      <c r="A92" s="5" t="n"/>
      <c r="B92" s="5" t="n"/>
      <c r="C92" s="5" t="n"/>
      <c r="D92" s="5" t="n"/>
      <c r="E92" s="5" t="n"/>
      <c r="F92" s="6" t="n"/>
      <c r="G92" s="6" t="n"/>
      <c r="H92" s="6" t="n"/>
      <c r="I92" s="5" t="n"/>
      <c r="J92" s="5" t="n"/>
    </row>
    <row r="93">
      <c r="A93" s="5" t="n"/>
      <c r="B93" s="5" t="n"/>
      <c r="C93" s="5" t="n"/>
      <c r="D93" s="5" t="n"/>
      <c r="E93" s="5" t="n"/>
      <c r="F93" s="6" t="n"/>
      <c r="G93" s="6" t="n"/>
      <c r="H93" s="6" t="n"/>
      <c r="I93" s="5" t="n"/>
      <c r="J93" s="5" t="n"/>
    </row>
    <row r="94">
      <c r="A94" s="5" t="n"/>
      <c r="B94" s="5" t="n"/>
      <c r="C94" s="5" t="n"/>
      <c r="D94" s="5" t="n"/>
      <c r="E94" s="5" t="n"/>
      <c r="F94" s="6" t="n"/>
      <c r="G94" s="6" t="n"/>
      <c r="H94" s="6" t="n"/>
      <c r="I94" s="5" t="n"/>
      <c r="J94" s="5" t="n"/>
    </row>
    <row r="95">
      <c r="A95" s="5" t="n"/>
      <c r="B95" s="5" t="n"/>
      <c r="C95" s="5" t="n"/>
      <c r="D95" s="5" t="n"/>
      <c r="E95" s="5" t="n"/>
      <c r="F95" s="6" t="n"/>
      <c r="G95" s="6" t="n"/>
      <c r="H95" s="6" t="n"/>
      <c r="I95" s="5" t="n"/>
      <c r="J95" s="5" t="n"/>
    </row>
    <row r="96">
      <c r="A96" s="5" t="n"/>
      <c r="B96" s="5" t="n"/>
      <c r="C96" s="5" t="n"/>
      <c r="D96" s="5" t="n"/>
      <c r="E96" s="5" t="n"/>
      <c r="F96" s="6" t="n"/>
      <c r="G96" s="6" t="n"/>
      <c r="H96" s="6" t="n"/>
      <c r="I96" s="5" t="n"/>
      <c r="J96" s="5" t="n"/>
    </row>
    <row r="97">
      <c r="A97" s="5" t="n"/>
      <c r="B97" s="5" t="n"/>
      <c r="C97" s="5" t="n"/>
      <c r="D97" s="5" t="n"/>
      <c r="E97" s="5" t="n"/>
      <c r="F97" s="6" t="n"/>
      <c r="G97" s="6" t="n"/>
      <c r="H97" s="6" t="n"/>
      <c r="I97" s="5" t="n"/>
      <c r="J97" s="5" t="n"/>
    </row>
    <row r="98">
      <c r="A98" s="5" t="n"/>
      <c r="B98" s="5" t="n"/>
      <c r="C98" s="5" t="n"/>
      <c r="D98" s="5" t="n"/>
      <c r="E98" s="5" t="n"/>
      <c r="F98" s="6" t="n"/>
      <c r="G98" s="6" t="n"/>
      <c r="H98" s="6" t="n"/>
      <c r="I98" s="5" t="n"/>
      <c r="J98" s="5" t="n"/>
    </row>
    <row r="99">
      <c r="A99" s="5" t="n"/>
      <c r="B99" s="5" t="n"/>
      <c r="C99" s="5" t="n"/>
      <c r="D99" s="5" t="n"/>
      <c r="E99" s="5" t="n"/>
      <c r="F99" s="6" t="n"/>
      <c r="G99" s="6" t="n"/>
      <c r="H99" s="6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6" t="n"/>
      <c r="G100" s="6" t="n"/>
      <c r="H100" s="6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6" t="n"/>
      <c r="G101" s="6" t="n"/>
      <c r="H101" s="6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6" t="n"/>
      <c r="G102" s="6" t="n"/>
      <c r="H102" s="6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6" t="n"/>
      <c r="G103" s="6" t="n"/>
      <c r="H103" s="6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6" t="n"/>
      <c r="G104" s="6" t="n"/>
      <c r="H104" s="6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6" t="n"/>
      <c r="G105" s="6" t="n"/>
      <c r="H105" s="6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6" t="n"/>
      <c r="G106" s="6" t="n"/>
      <c r="H106" s="6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6" t="n"/>
      <c r="G107" s="6" t="n"/>
      <c r="H107" s="6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6" t="n"/>
      <c r="G108" s="6" t="n"/>
      <c r="H108" s="6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6" t="n"/>
      <c r="G109" s="6" t="n"/>
      <c r="H109" s="6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6" t="n"/>
      <c r="G110" s="6" t="n"/>
      <c r="H110" s="6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6" t="n"/>
      <c r="G111" s="6" t="n"/>
      <c r="H111" s="6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6" t="n"/>
      <c r="G112" s="6" t="n"/>
      <c r="H112" s="6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6" t="n"/>
      <c r="G113" s="6" t="n"/>
      <c r="H113" s="6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6" t="n"/>
      <c r="G114" s="6" t="n"/>
      <c r="H114" s="6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6" t="n"/>
      <c r="G115" s="6" t="n"/>
      <c r="H115" s="6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6" t="n"/>
      <c r="G116" s="6" t="n"/>
      <c r="H116" s="6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6" t="n"/>
      <c r="G117" s="6" t="n"/>
      <c r="H117" s="6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6" t="n"/>
      <c r="G118" s="6" t="n"/>
      <c r="H118" s="6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6" t="n"/>
      <c r="G119" s="6" t="n"/>
      <c r="H119" s="6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6" t="n"/>
      <c r="G120" s="6" t="n"/>
      <c r="H120" s="6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6" t="n"/>
      <c r="G121" s="6" t="n"/>
      <c r="H121" s="6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6" t="n"/>
      <c r="G122" s="6" t="n"/>
      <c r="H122" s="6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6" t="n"/>
      <c r="G123" s="6" t="n"/>
      <c r="H123" s="6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6" t="n"/>
      <c r="G124" s="6" t="n"/>
      <c r="H124" s="6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6" t="n"/>
      <c r="G125" s="6" t="n"/>
      <c r="H125" s="6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6" t="n"/>
      <c r="G126" s="6" t="n"/>
      <c r="H126" s="6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6" t="n"/>
      <c r="G127" s="6" t="n"/>
      <c r="H127" s="6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6" t="n"/>
      <c r="G128" s="6" t="n"/>
      <c r="H128" s="6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6" t="n"/>
      <c r="G129" s="6" t="n"/>
      <c r="H129" s="6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6" t="n"/>
      <c r="G130" s="6" t="n"/>
      <c r="H130" s="6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6" t="n"/>
      <c r="G131" s="6" t="n"/>
      <c r="H131" s="6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6" t="n"/>
      <c r="G132" s="6" t="n"/>
      <c r="H132" s="6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6" t="n"/>
      <c r="G133" s="6" t="n"/>
      <c r="H133" s="6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6" t="n"/>
      <c r="G134" s="6" t="n"/>
      <c r="H134" s="6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6" t="n"/>
      <c r="G135" s="6" t="n"/>
      <c r="H135" s="6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6" t="n"/>
      <c r="G136" s="6" t="n"/>
      <c r="H136" s="6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6" t="n"/>
      <c r="G137" s="6" t="n"/>
      <c r="H137" s="6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6" t="n"/>
      <c r="G138" s="6" t="n"/>
      <c r="H138" s="6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6" t="n"/>
      <c r="G139" s="6" t="n"/>
      <c r="H139" s="6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6" t="n"/>
      <c r="G140" s="6" t="n"/>
      <c r="H140" s="6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6" t="n"/>
      <c r="G141" s="6" t="n"/>
      <c r="H141" s="6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6" t="n"/>
      <c r="G142" s="6" t="n"/>
      <c r="H142" s="6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6" t="n"/>
      <c r="G143" s="6" t="n"/>
      <c r="H143" s="6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6" t="n"/>
      <c r="G144" s="6" t="n"/>
      <c r="H144" s="6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6" t="n"/>
      <c r="G145" s="6" t="n"/>
      <c r="H145" s="6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6" t="n"/>
      <c r="G146" s="6" t="n"/>
      <c r="H146" s="6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6" t="n"/>
      <c r="G147" s="6" t="n"/>
      <c r="H147" s="6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6" t="n"/>
      <c r="G148" s="6" t="n"/>
      <c r="H148" s="6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6" t="n"/>
      <c r="G149" s="6" t="n"/>
      <c r="H149" s="6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6" t="n"/>
      <c r="G150" s="6" t="n"/>
      <c r="H150" s="6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6" t="n"/>
      <c r="G151" s="6" t="n"/>
      <c r="H151" s="6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6" t="n"/>
      <c r="G152" s="6" t="n"/>
      <c r="H152" s="6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6" t="n"/>
      <c r="G153" s="6" t="n"/>
      <c r="H153" s="6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6" t="n"/>
      <c r="G154" s="6" t="n"/>
      <c r="H154" s="6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6" t="n"/>
      <c r="G155" s="6" t="n"/>
      <c r="H155" s="6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6" t="n"/>
      <c r="G156" s="6" t="n"/>
      <c r="H156" s="6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6" t="n"/>
      <c r="G157" s="6" t="n"/>
      <c r="H157" s="6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6" t="n"/>
      <c r="G158" s="6" t="n"/>
      <c r="H158" s="6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6" t="n"/>
      <c r="G159" s="6" t="n"/>
      <c r="H159" s="6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6" t="n"/>
      <c r="G160" s="6" t="n"/>
      <c r="H160" s="6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6" t="n"/>
      <c r="G161" s="6" t="n"/>
      <c r="H161" s="6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6" t="n"/>
      <c r="G162" s="6" t="n"/>
      <c r="H162" s="6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6" t="n"/>
      <c r="G163" s="6" t="n"/>
      <c r="H163" s="6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6" t="n"/>
      <c r="G164" s="6" t="n"/>
      <c r="H164" s="6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6" t="n"/>
      <c r="G165" s="6" t="n"/>
      <c r="H165" s="6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6" t="n"/>
      <c r="G166" s="6" t="n"/>
      <c r="H166" s="6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6" t="n"/>
      <c r="G167" s="6" t="n"/>
      <c r="H167" s="6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6" t="n"/>
      <c r="G168" s="6" t="n"/>
      <c r="H168" s="6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6" t="n"/>
      <c r="G169" s="6" t="n"/>
      <c r="H169" s="6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6" t="n"/>
      <c r="G170" s="6" t="n"/>
      <c r="H170" s="6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6" t="n"/>
      <c r="G171" s="6" t="n"/>
      <c r="H171" s="6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6" t="n"/>
      <c r="G172" s="6" t="n"/>
      <c r="H172" s="6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6" t="n"/>
      <c r="G173" s="6" t="n"/>
      <c r="H173" s="6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6" t="n"/>
      <c r="G174" s="6" t="n"/>
      <c r="H174" s="6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6" t="n"/>
      <c r="G175" s="6" t="n"/>
      <c r="H175" s="6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6" t="n"/>
      <c r="G176" s="6" t="n"/>
      <c r="H176" s="6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6" t="n"/>
      <c r="G177" s="6" t="n"/>
      <c r="H177" s="6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6" t="n"/>
      <c r="G178" s="6" t="n"/>
      <c r="H178" s="6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6" t="n"/>
      <c r="G179" s="6" t="n"/>
      <c r="H179" s="6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6" t="n"/>
      <c r="G180" s="6" t="n"/>
      <c r="H180" s="6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6" t="n"/>
      <c r="G181" s="6" t="n"/>
      <c r="H181" s="6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6" t="n"/>
      <c r="G182" s="6" t="n"/>
      <c r="H182" s="6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6" t="n"/>
      <c r="G183" s="6" t="n"/>
      <c r="H183" s="6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6" t="n"/>
      <c r="G184" s="6" t="n"/>
      <c r="H184" s="6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6" t="n"/>
      <c r="G185" s="6" t="n"/>
      <c r="H185" s="6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6" t="n"/>
      <c r="G186" s="6" t="n"/>
      <c r="H186" s="6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6" t="n"/>
      <c r="G187" s="6" t="n"/>
      <c r="H187" s="6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6" t="n"/>
      <c r="G188" s="6" t="n"/>
      <c r="H188" s="6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6" t="n"/>
      <c r="G189" s="6" t="n"/>
      <c r="H189" s="6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6" t="n"/>
      <c r="G190" s="6" t="n"/>
      <c r="H190" s="6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6" t="n"/>
      <c r="G191" s="6" t="n"/>
      <c r="H191" s="6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6" t="n"/>
      <c r="G192" s="6" t="n"/>
      <c r="H192" s="6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6" t="n"/>
      <c r="G193" s="6" t="n"/>
      <c r="H193" s="6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6" t="n"/>
      <c r="G194" s="6" t="n"/>
      <c r="H194" s="6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6" t="n"/>
      <c r="G195" s="6" t="n"/>
      <c r="H195" s="6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6" t="n"/>
      <c r="G196" s="6" t="n"/>
      <c r="H196" s="6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6" t="n"/>
      <c r="G197" s="6" t="n"/>
      <c r="H197" s="6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6" t="n"/>
      <c r="G198" s="6" t="n"/>
      <c r="H198" s="6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6" t="n"/>
      <c r="G199" s="6" t="n"/>
      <c r="H199" s="6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6" t="n"/>
      <c r="G200" s="6" t="n"/>
      <c r="H200" s="6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6" t="n"/>
      <c r="G201" s="6" t="n"/>
      <c r="H201" s="6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6" t="n"/>
      <c r="G202" s="6" t="n"/>
      <c r="H202" s="6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6" t="n"/>
      <c r="G203" s="6" t="n"/>
      <c r="H203" s="6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6" t="n"/>
      <c r="G204" s="6" t="n"/>
      <c r="H204" s="6" t="n"/>
      <c r="I204" s="5" t="n"/>
      <c r="J204" s="5" t="n"/>
    </row>
  </sheetData>
  <autoFilter ref="A3:J20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22" customWidth="1" min="5" max="5"/>
    <col width="28" customWidth="1" min="6" max="6"/>
    <col width="15" customWidth="1" min="7" max="7"/>
    <col width="15" customWidth="1" min="8" max="8"/>
    <col width="15" customWidth="1" min="9" max="9"/>
    <col width="28" customWidth="1" min="10" max="10"/>
  </cols>
  <sheetData>
    <row r="1">
      <c r="A1" s="1" t="inlineStr">
        <is>
          <t>Összeítés</t>
        </is>
      </c>
      <c r="F1" s="2" t="n"/>
      <c r="G1" s="2" t="n"/>
      <c r="H1" s="2" t="n"/>
    </row>
    <row r="2">
      <c r="A2" s="7" t="inlineStr">
        <is>
          <t>1. Szolgálati időként értékelendő időszakok</t>
        </is>
      </c>
      <c r="F2" s="2" t="n"/>
      <c r="G2" s="2" t="n"/>
      <c r="H2" s="2" t="n"/>
    </row>
    <row r="3">
      <c r="F3" s="2" t="n"/>
      <c r="G3" s="2" t="n"/>
      <c r="H3" s="2" t="n"/>
    </row>
    <row r="4">
      <c r="A4" s="3" t="inlineStr">
        <is>
          <t>azonosító</t>
        </is>
      </c>
      <c r="B4" s="3" t="inlineStr">
        <is>
          <t>tól</t>
        </is>
      </c>
      <c r="C4" s="3" t="inlineStr">
        <is>
          <t>ig</t>
        </is>
      </c>
      <c r="D4" s="3" t="inlineStr">
        <is>
          <t>közölt_napok</t>
        </is>
      </c>
      <c r="E4" s="3" t="inlineStr">
        <is>
          <t>munkáltató</t>
        </is>
      </c>
      <c r="F4" s="4" t="inlineStr">
        <is>
          <t>jogviszony</t>
        </is>
      </c>
      <c r="G4" s="4" t="inlineStr">
        <is>
          <t>minősítés_betűjele</t>
        </is>
      </c>
      <c r="H4" s="4" t="inlineStr">
        <is>
          <t>megjegyzés</t>
        </is>
      </c>
    </row>
    <row r="5">
      <c r="A5" s="5" t="n"/>
      <c r="B5" s="5" t="n"/>
      <c r="C5" s="5" t="n"/>
      <c r="D5" s="5" t="n"/>
      <c r="E5" s="5" t="n"/>
      <c r="F5" s="6" t="n"/>
      <c r="G5" s="6" t="n"/>
      <c r="H5" s="6" t="n"/>
    </row>
    <row r="6">
      <c r="A6" s="5" t="n"/>
      <c r="B6" s="5" t="n"/>
      <c r="C6" s="5" t="n"/>
      <c r="D6" s="5" t="n"/>
      <c r="E6" s="5" t="n"/>
      <c r="F6" s="6" t="n"/>
      <c r="G6" s="6" t="n"/>
      <c r="H6" s="6" t="n"/>
    </row>
    <row r="7">
      <c r="A7" s="5" t="n"/>
      <c r="B7" s="5" t="n"/>
      <c r="C7" s="5" t="n"/>
      <c r="D7" s="5" t="n"/>
      <c r="E7" s="5" t="n"/>
      <c r="F7" s="6" t="n"/>
      <c r="G7" s="6" t="n"/>
      <c r="H7" s="6" t="n"/>
    </row>
    <row r="8">
      <c r="A8" s="5" t="n"/>
      <c r="B8" s="5" t="n"/>
      <c r="C8" s="5" t="n"/>
      <c r="D8" s="5" t="n"/>
      <c r="E8" s="5" t="n"/>
      <c r="F8" s="6" t="n"/>
      <c r="G8" s="6" t="n"/>
      <c r="H8" s="6" t="n"/>
    </row>
    <row r="9">
      <c r="A9" s="5" t="n"/>
      <c r="B9" s="5" t="n"/>
      <c r="C9" s="5" t="n"/>
      <c r="D9" s="5" t="n"/>
      <c r="E9" s="5" t="n"/>
      <c r="F9" s="6" t="n"/>
      <c r="G9" s="6" t="n"/>
      <c r="H9" s="6" t="n"/>
    </row>
    <row r="10">
      <c r="A10" s="5" t="n"/>
      <c r="B10" s="5" t="n"/>
      <c r="C10" s="5" t="n"/>
      <c r="D10" s="5" t="n"/>
      <c r="E10" s="5" t="n"/>
      <c r="F10" s="6" t="n"/>
      <c r="G10" s="6" t="n"/>
      <c r="H10" s="6" t="n"/>
    </row>
    <row r="11">
      <c r="A11" s="5" t="n"/>
      <c r="B11" s="5" t="n"/>
      <c r="C11" s="5" t="n"/>
      <c r="D11" s="5" t="n"/>
      <c r="E11" s="5" t="n"/>
      <c r="F11" s="6" t="n"/>
      <c r="G11" s="6" t="n"/>
      <c r="H11" s="6" t="n"/>
    </row>
    <row r="12">
      <c r="A12" s="5" t="n"/>
      <c r="B12" s="5" t="n"/>
      <c r="C12" s="5" t="n"/>
      <c r="D12" s="5" t="n"/>
      <c r="E12" s="5" t="n"/>
      <c r="F12" s="6" t="n"/>
      <c r="G12" s="6" t="n"/>
      <c r="H12" s="6" t="n"/>
    </row>
    <row r="13">
      <c r="A13" s="5" t="n"/>
      <c r="B13" s="5" t="n"/>
      <c r="C13" s="5" t="n"/>
      <c r="D13" s="5" t="n"/>
      <c r="E13" s="5" t="n"/>
      <c r="F13" s="6" t="n"/>
      <c r="G13" s="6" t="n"/>
      <c r="H13" s="6" t="n"/>
    </row>
    <row r="14">
      <c r="A14" s="5" t="n"/>
      <c r="B14" s="5" t="n"/>
      <c r="C14" s="5" t="n"/>
      <c r="D14" s="5" t="n"/>
      <c r="E14" s="5" t="n"/>
      <c r="F14" s="6" t="n"/>
      <c r="G14" s="6" t="n"/>
      <c r="H14" s="6" t="n"/>
    </row>
    <row r="15">
      <c r="A15" s="5" t="n"/>
      <c r="B15" s="5" t="n"/>
      <c r="C15" s="5" t="n"/>
      <c r="D15" s="5" t="n"/>
      <c r="E15" s="5" t="n"/>
      <c r="F15" s="6" t="n"/>
      <c r="G15" s="6" t="n"/>
      <c r="H15" s="6" t="n"/>
    </row>
    <row r="16">
      <c r="A16" s="5" t="n"/>
      <c r="B16" s="5" t="n"/>
      <c r="C16" s="5" t="n"/>
      <c r="D16" s="5" t="n"/>
      <c r="E16" s="5" t="n"/>
      <c r="F16" s="6" t="n"/>
      <c r="G16" s="6" t="n"/>
      <c r="H16" s="6" t="n"/>
    </row>
    <row r="17">
      <c r="A17" s="5" t="n"/>
      <c r="B17" s="5" t="n"/>
      <c r="C17" s="5" t="n"/>
      <c r="D17" s="5" t="n"/>
      <c r="E17" s="5" t="n"/>
      <c r="F17" s="6" t="n"/>
      <c r="G17" s="6" t="n"/>
      <c r="H17" s="6" t="n"/>
    </row>
    <row r="18">
      <c r="A18" s="5" t="n"/>
      <c r="B18" s="5" t="n"/>
      <c r="C18" s="5" t="n"/>
      <c r="D18" s="5" t="n"/>
      <c r="E18" s="5" t="n"/>
      <c r="F18" s="6" t="n"/>
      <c r="G18" s="6" t="n"/>
      <c r="H18" s="6" t="n"/>
    </row>
    <row r="19">
      <c r="A19" s="5" t="n"/>
      <c r="B19" s="5" t="n"/>
      <c r="C19" s="5" t="n"/>
      <c r="D19" s="5" t="n"/>
      <c r="E19" s="5" t="n"/>
      <c r="F19" s="6" t="n"/>
      <c r="G19" s="6" t="n"/>
      <c r="H19" s="6" t="n"/>
    </row>
    <row r="20">
      <c r="A20" s="5" t="n"/>
      <c r="B20" s="5" t="n"/>
      <c r="C20" s="5" t="n"/>
      <c r="D20" s="5" t="n"/>
      <c r="E20" s="5" t="n"/>
      <c r="F20" s="6" t="n"/>
      <c r="G20" s="6" t="n"/>
      <c r="H20" s="6" t="n"/>
    </row>
    <row r="21">
      <c r="A21" s="5" t="n"/>
      <c r="B21" s="5" t="n"/>
      <c r="C21" s="5" t="n"/>
      <c r="D21" s="5" t="n"/>
      <c r="E21" s="5" t="n"/>
      <c r="F21" s="6" t="n"/>
      <c r="G21" s="6" t="n"/>
      <c r="H21" s="6" t="n"/>
    </row>
    <row r="22">
      <c r="A22" s="5" t="n"/>
      <c r="B22" s="5" t="n"/>
      <c r="C22" s="5" t="n"/>
      <c r="D22" s="5" t="n"/>
      <c r="E22" s="5" t="n"/>
      <c r="F22" s="6" t="n"/>
      <c r="G22" s="6" t="n"/>
      <c r="H22" s="6" t="n"/>
    </row>
    <row r="23">
      <c r="A23" s="5" t="n"/>
      <c r="B23" s="5" t="n"/>
      <c r="C23" s="5" t="n"/>
      <c r="D23" s="5" t="n"/>
      <c r="E23" s="5" t="n"/>
      <c r="F23" s="6" t="n"/>
      <c r="G23" s="6" t="n"/>
      <c r="H23" s="6" t="n"/>
    </row>
    <row r="24">
      <c r="A24" s="5" t="n"/>
      <c r="B24" s="5" t="n"/>
      <c r="C24" s="5" t="n"/>
      <c r="D24" s="5" t="n"/>
      <c r="E24" s="5" t="n"/>
      <c r="F24" s="6" t="n"/>
      <c r="G24" s="6" t="n"/>
      <c r="H24" s="6" t="n"/>
    </row>
    <row r="25">
      <c r="A25" s="5" t="n"/>
      <c r="B25" s="5" t="n"/>
      <c r="C25" s="5" t="n"/>
      <c r="D25" s="5" t="n"/>
      <c r="E25" s="5" t="n"/>
      <c r="F25" s="6" t="n"/>
      <c r="G25" s="6" t="n"/>
      <c r="H25" s="6" t="n"/>
    </row>
    <row r="26">
      <c r="A26" s="5" t="n"/>
      <c r="B26" s="5" t="n"/>
      <c r="C26" s="5" t="n"/>
      <c r="D26" s="5" t="n"/>
      <c r="E26" s="5" t="n"/>
      <c r="F26" s="6" t="n"/>
      <c r="G26" s="6" t="n"/>
      <c r="H26" s="6" t="n"/>
    </row>
    <row r="27">
      <c r="A27" s="5" t="n"/>
      <c r="B27" s="5" t="n"/>
      <c r="C27" s="5" t="n"/>
      <c r="D27" s="5" t="n"/>
      <c r="E27" s="5" t="n"/>
      <c r="F27" s="6" t="n"/>
      <c r="G27" s="6" t="n"/>
      <c r="H27" s="6" t="n"/>
    </row>
    <row r="28">
      <c r="A28" s="5" t="n"/>
      <c r="B28" s="5" t="n"/>
      <c r="C28" s="5" t="n"/>
      <c r="D28" s="5" t="n"/>
      <c r="E28" s="5" t="n"/>
      <c r="F28" s="6" t="n"/>
      <c r="G28" s="6" t="n"/>
      <c r="H28" s="6" t="n"/>
    </row>
    <row r="29">
      <c r="A29" s="5" t="n"/>
      <c r="B29" s="5" t="n"/>
      <c r="C29" s="5" t="n"/>
      <c r="D29" s="5" t="n"/>
      <c r="E29" s="5" t="n"/>
      <c r="F29" s="6" t="n"/>
      <c r="G29" s="6" t="n"/>
      <c r="H29" s="6" t="n"/>
    </row>
    <row r="30">
      <c r="A30" s="5" t="n"/>
      <c r="B30" s="5" t="n"/>
      <c r="C30" s="5" t="n"/>
      <c r="D30" s="5" t="n"/>
      <c r="E30" s="5" t="n"/>
      <c r="F30" s="6" t="n"/>
      <c r="G30" s="6" t="n"/>
      <c r="H30" s="6" t="n"/>
    </row>
    <row r="31">
      <c r="A31" s="5" t="n"/>
      <c r="B31" s="5" t="n"/>
      <c r="C31" s="5" t="n"/>
      <c r="D31" s="5" t="n"/>
      <c r="E31" s="5" t="n"/>
      <c r="F31" s="6" t="n"/>
      <c r="G31" s="6" t="n"/>
      <c r="H31" s="6" t="n"/>
    </row>
    <row r="32">
      <c r="A32" s="5" t="n"/>
      <c r="B32" s="5" t="n"/>
      <c r="C32" s="5" t="n"/>
      <c r="D32" s="5" t="n"/>
      <c r="E32" s="5" t="n"/>
      <c r="F32" s="6" t="n"/>
      <c r="G32" s="6" t="n"/>
      <c r="H32" s="6" t="n"/>
    </row>
    <row r="33">
      <c r="A33" s="5" t="n"/>
      <c r="B33" s="5" t="n"/>
      <c r="C33" s="5" t="n"/>
      <c r="D33" s="5" t="n"/>
      <c r="E33" s="5" t="n"/>
      <c r="F33" s="6" t="n"/>
      <c r="G33" s="6" t="n"/>
      <c r="H33" s="6" t="n"/>
    </row>
    <row r="34">
      <c r="A34" s="5" t="n"/>
      <c r="B34" s="5" t="n"/>
      <c r="C34" s="5" t="n"/>
      <c r="D34" s="5" t="n"/>
      <c r="E34" s="5" t="n"/>
      <c r="F34" s="6" t="n"/>
      <c r="G34" s="6" t="n"/>
      <c r="H34" s="6" t="n"/>
    </row>
    <row r="35">
      <c r="A35" s="5" t="n"/>
      <c r="B35" s="5" t="n"/>
      <c r="C35" s="5" t="n"/>
      <c r="D35" s="5" t="n"/>
      <c r="E35" s="5" t="n"/>
      <c r="F35" s="6" t="n"/>
      <c r="G35" s="6" t="n"/>
      <c r="H35" s="6" t="n"/>
    </row>
    <row r="36">
      <c r="A36" s="5" t="n"/>
      <c r="B36" s="5" t="n"/>
      <c r="C36" s="5" t="n"/>
      <c r="D36" s="5" t="n"/>
      <c r="E36" s="5" t="n"/>
      <c r="F36" s="6" t="n"/>
      <c r="G36" s="6" t="n"/>
      <c r="H36" s="6" t="n"/>
    </row>
    <row r="37">
      <c r="A37" s="5" t="n"/>
      <c r="B37" s="5" t="n"/>
      <c r="C37" s="5" t="n"/>
      <c r="D37" s="5" t="n"/>
      <c r="E37" s="5" t="n"/>
      <c r="F37" s="6" t="n"/>
      <c r="G37" s="6" t="n"/>
      <c r="H37" s="6" t="n"/>
    </row>
    <row r="38">
      <c r="A38" s="5" t="n"/>
      <c r="B38" s="5" t="n"/>
      <c r="C38" s="5" t="n"/>
      <c r="D38" s="5" t="n"/>
      <c r="E38" s="5" t="n"/>
      <c r="F38" s="6" t="n"/>
      <c r="G38" s="6" t="n"/>
      <c r="H38" s="6" t="n"/>
    </row>
    <row r="39">
      <c r="A39" s="5" t="n"/>
      <c r="B39" s="5" t="n"/>
      <c r="C39" s="5" t="n"/>
      <c r="D39" s="5" t="n"/>
      <c r="E39" s="5" t="n"/>
      <c r="F39" s="6" t="n"/>
      <c r="G39" s="6" t="n"/>
      <c r="H39" s="6" t="n"/>
    </row>
    <row r="40">
      <c r="A40" s="5" t="n"/>
      <c r="B40" s="5" t="n"/>
      <c r="C40" s="5" t="n"/>
      <c r="D40" s="5" t="n"/>
      <c r="E40" s="5" t="n"/>
      <c r="F40" s="6" t="n"/>
      <c r="G40" s="6" t="n"/>
      <c r="H40" s="6" t="n"/>
    </row>
    <row r="41">
      <c r="A41" s="5" t="n"/>
      <c r="B41" s="5" t="n"/>
      <c r="C41" s="5" t="n"/>
      <c r="D41" s="5" t="n"/>
      <c r="E41" s="5" t="n"/>
      <c r="F41" s="6" t="n"/>
      <c r="G41" s="6" t="n"/>
      <c r="H41" s="6" t="n"/>
    </row>
    <row r="42">
      <c r="A42" s="5" t="n"/>
      <c r="B42" s="5" t="n"/>
      <c r="C42" s="5" t="n"/>
      <c r="D42" s="5" t="n"/>
      <c r="E42" s="5" t="n"/>
      <c r="F42" s="6" t="n"/>
      <c r="G42" s="6" t="n"/>
      <c r="H42" s="6" t="n"/>
    </row>
    <row r="43">
      <c r="A43" s="5" t="n"/>
      <c r="B43" s="5" t="n"/>
      <c r="C43" s="5" t="n"/>
      <c r="D43" s="5" t="n"/>
      <c r="E43" s="5" t="n"/>
      <c r="F43" s="6" t="n"/>
      <c r="G43" s="6" t="n"/>
      <c r="H43" s="6" t="n"/>
    </row>
    <row r="44">
      <c r="A44" s="5" t="n"/>
      <c r="B44" s="5" t="n"/>
      <c r="C44" s="5" t="n"/>
      <c r="D44" s="5" t="n"/>
      <c r="E44" s="5" t="n"/>
      <c r="F44" s="6" t="n"/>
      <c r="G44" s="6" t="n"/>
      <c r="H44" s="6" t="n"/>
    </row>
    <row r="45">
      <c r="A45" s="5" t="n"/>
      <c r="B45" s="5" t="n"/>
      <c r="C45" s="5" t="n"/>
      <c r="D45" s="5" t="n"/>
      <c r="E45" s="5" t="n"/>
      <c r="F45" s="6" t="n"/>
      <c r="G45" s="6" t="n"/>
      <c r="H45" s="6" t="n"/>
    </row>
    <row r="46">
      <c r="A46" s="5" t="n"/>
      <c r="B46" s="5" t="n"/>
      <c r="C46" s="5" t="n"/>
      <c r="D46" s="5" t="n"/>
      <c r="E46" s="5" t="n"/>
      <c r="F46" s="6" t="n"/>
      <c r="G46" s="6" t="n"/>
      <c r="H46" s="6" t="n"/>
    </row>
    <row r="47">
      <c r="A47" s="5" t="n"/>
      <c r="B47" s="5" t="n"/>
      <c r="C47" s="5" t="n"/>
      <c r="D47" s="5" t="n"/>
      <c r="E47" s="5" t="n"/>
      <c r="F47" s="6" t="n"/>
      <c r="G47" s="6" t="n"/>
      <c r="H47" s="6" t="n"/>
    </row>
    <row r="48">
      <c r="A48" s="5" t="n"/>
      <c r="B48" s="5" t="n"/>
      <c r="C48" s="5" t="n"/>
      <c r="D48" s="5" t="n"/>
      <c r="E48" s="5" t="n"/>
      <c r="F48" s="6" t="n"/>
      <c r="G48" s="6" t="n"/>
      <c r="H48" s="6" t="n"/>
    </row>
    <row r="49">
      <c r="A49" s="5" t="n"/>
      <c r="B49" s="5" t="n"/>
      <c r="C49" s="5" t="n"/>
      <c r="D49" s="5" t="n"/>
      <c r="E49" s="5" t="n"/>
      <c r="F49" s="6" t="n"/>
      <c r="G49" s="6" t="n"/>
      <c r="H49" s="6" t="n"/>
    </row>
    <row r="50">
      <c r="A50" s="5" t="n"/>
      <c r="B50" s="5" t="n"/>
      <c r="C50" s="5" t="n"/>
      <c r="D50" s="5" t="n"/>
      <c r="E50" s="5" t="n"/>
      <c r="F50" s="6" t="n"/>
      <c r="G50" s="6" t="n"/>
      <c r="H50" s="6" t="n"/>
    </row>
    <row r="51">
      <c r="A51" s="5" t="n"/>
      <c r="B51" s="5" t="n"/>
      <c r="C51" s="5" t="n"/>
      <c r="D51" s="5" t="n"/>
      <c r="E51" s="5" t="n"/>
      <c r="F51" s="6" t="n"/>
      <c r="G51" s="6" t="n"/>
      <c r="H51" s="6" t="n"/>
    </row>
    <row r="52">
      <c r="A52" s="5" t="n"/>
      <c r="B52" s="5" t="n"/>
      <c r="C52" s="5" t="n"/>
      <c r="D52" s="5" t="n"/>
      <c r="E52" s="5" t="n"/>
      <c r="F52" s="6" t="n"/>
      <c r="G52" s="6" t="n"/>
      <c r="H52" s="6" t="n"/>
    </row>
    <row r="53">
      <c r="A53" s="5" t="n"/>
      <c r="B53" s="5" t="n"/>
      <c r="C53" s="5" t="n"/>
      <c r="D53" s="5" t="n"/>
      <c r="E53" s="5" t="n"/>
      <c r="F53" s="6" t="n"/>
      <c r="G53" s="6" t="n"/>
      <c r="H53" s="6" t="n"/>
    </row>
    <row r="54">
      <c r="A54" s="5" t="n"/>
      <c r="B54" s="5" t="n"/>
      <c r="C54" s="5" t="n"/>
      <c r="D54" s="5" t="n"/>
      <c r="E54" s="5" t="n"/>
      <c r="F54" s="6" t="n"/>
      <c r="G54" s="6" t="n"/>
      <c r="H54" s="6" t="n"/>
    </row>
    <row r="55">
      <c r="A55" s="5" t="n"/>
      <c r="B55" s="5" t="n"/>
      <c r="C55" s="5" t="n"/>
      <c r="D55" s="5" t="n"/>
      <c r="E55" s="5" t="n"/>
      <c r="F55" s="6" t="n"/>
      <c r="G55" s="6" t="n"/>
      <c r="H55" s="6" t="n"/>
    </row>
    <row r="56">
      <c r="A56" s="5" t="n"/>
      <c r="B56" s="5" t="n"/>
      <c r="C56" s="5" t="n"/>
      <c r="D56" s="5" t="n"/>
      <c r="E56" s="5" t="n"/>
      <c r="F56" s="6" t="n"/>
      <c r="G56" s="6" t="n"/>
      <c r="H56" s="6" t="n"/>
    </row>
    <row r="57">
      <c r="A57" s="5" t="n"/>
      <c r="B57" s="5" t="n"/>
      <c r="C57" s="5" t="n"/>
      <c r="D57" s="5" t="n"/>
      <c r="E57" s="5" t="n"/>
      <c r="F57" s="6" t="n"/>
      <c r="G57" s="6" t="n"/>
      <c r="H57" s="6" t="n"/>
    </row>
    <row r="58">
      <c r="A58" s="5" t="n"/>
      <c r="B58" s="5" t="n"/>
      <c r="C58" s="5" t="n"/>
      <c r="D58" s="5" t="n"/>
      <c r="E58" s="5" t="n"/>
      <c r="F58" s="6" t="n"/>
      <c r="G58" s="6" t="n"/>
      <c r="H58" s="6" t="n"/>
    </row>
    <row r="59">
      <c r="A59" s="5" t="n"/>
      <c r="B59" s="5" t="n"/>
      <c r="C59" s="5" t="n"/>
      <c r="D59" s="5" t="n"/>
      <c r="E59" s="5" t="n"/>
      <c r="F59" s="6" t="n"/>
      <c r="G59" s="6" t="n"/>
      <c r="H59" s="6" t="n"/>
    </row>
    <row r="60">
      <c r="A60" s="5" t="n"/>
      <c r="B60" s="5" t="n"/>
      <c r="C60" s="5" t="n"/>
      <c r="D60" s="5" t="n"/>
      <c r="E60" s="5" t="n"/>
      <c r="F60" s="6" t="n"/>
      <c r="G60" s="6" t="n"/>
      <c r="H60" s="6" t="n"/>
    </row>
    <row r="61">
      <c r="A61" s="5" t="n"/>
      <c r="B61" s="5" t="n"/>
      <c r="C61" s="5" t="n"/>
      <c r="D61" s="5" t="n"/>
      <c r="E61" s="5" t="n"/>
      <c r="F61" s="6" t="n"/>
      <c r="G61" s="6" t="n"/>
      <c r="H61" s="6" t="n"/>
    </row>
    <row r="62">
      <c r="A62" s="5" t="n"/>
      <c r="B62" s="5" t="n"/>
      <c r="C62" s="5" t="n"/>
      <c r="D62" s="5" t="n"/>
      <c r="E62" s="5" t="n"/>
      <c r="F62" s="6" t="n"/>
      <c r="G62" s="6" t="n"/>
      <c r="H62" s="6" t="n"/>
    </row>
    <row r="63">
      <c r="A63" s="5" t="n"/>
      <c r="B63" s="5" t="n"/>
      <c r="C63" s="5" t="n"/>
      <c r="D63" s="5" t="n"/>
      <c r="E63" s="5" t="n"/>
      <c r="F63" s="6" t="n"/>
      <c r="G63" s="6" t="n"/>
      <c r="H63" s="6" t="n"/>
    </row>
    <row r="64">
      <c r="A64" s="5" t="n"/>
      <c r="B64" s="5" t="n"/>
      <c r="C64" s="5" t="n"/>
      <c r="D64" s="5" t="n"/>
      <c r="E64" s="5" t="n"/>
      <c r="F64" s="6" t="n"/>
      <c r="G64" s="6" t="n"/>
      <c r="H64" s="6" t="n"/>
    </row>
    <row r="65">
      <c r="A65" s="5" t="n"/>
      <c r="B65" s="5" t="n"/>
      <c r="C65" s="5" t="n"/>
      <c r="D65" s="5" t="n"/>
      <c r="E65" s="5" t="n"/>
      <c r="F65" s="6" t="n"/>
      <c r="G65" s="6" t="n"/>
      <c r="H65" s="6" t="n"/>
    </row>
    <row r="66">
      <c r="A66" s="5" t="n"/>
      <c r="B66" s="5" t="n"/>
      <c r="C66" s="5" t="n"/>
      <c r="D66" s="5" t="n"/>
      <c r="E66" s="5" t="n"/>
      <c r="F66" s="6" t="n"/>
      <c r="G66" s="6" t="n"/>
      <c r="H66" s="6" t="n"/>
    </row>
    <row r="67">
      <c r="A67" s="5" t="n"/>
      <c r="B67" s="5" t="n"/>
      <c r="C67" s="5" t="n"/>
      <c r="D67" s="5" t="n"/>
      <c r="E67" s="5" t="n"/>
      <c r="F67" s="6" t="n"/>
      <c r="G67" s="6" t="n"/>
      <c r="H67" s="6" t="n"/>
    </row>
    <row r="68">
      <c r="A68" s="5" t="n"/>
      <c r="B68" s="5" t="n"/>
      <c r="C68" s="5" t="n"/>
      <c r="D68" s="5" t="n"/>
      <c r="E68" s="5" t="n"/>
      <c r="F68" s="6" t="n"/>
      <c r="G68" s="6" t="n"/>
      <c r="H68" s="6" t="n"/>
    </row>
    <row r="69">
      <c r="A69" s="5" t="n"/>
      <c r="B69" s="5" t="n"/>
      <c r="C69" s="5" t="n"/>
      <c r="D69" s="5" t="n"/>
      <c r="E69" s="5" t="n"/>
      <c r="F69" s="6" t="n"/>
      <c r="G69" s="6" t="n"/>
      <c r="H69" s="6" t="n"/>
    </row>
    <row r="70">
      <c r="A70" s="5" t="n"/>
      <c r="B70" s="5" t="n"/>
      <c r="C70" s="5" t="n"/>
      <c r="D70" s="5" t="n"/>
      <c r="E70" s="5" t="n"/>
      <c r="F70" s="6" t="n"/>
      <c r="G70" s="6" t="n"/>
      <c r="H70" s="6" t="n"/>
    </row>
    <row r="71">
      <c r="A71" s="5" t="n"/>
      <c r="B71" s="5" t="n"/>
      <c r="C71" s="5" t="n"/>
      <c r="D71" s="5" t="n"/>
      <c r="E71" s="5" t="n"/>
      <c r="F71" s="6" t="n"/>
      <c r="G71" s="6" t="n"/>
      <c r="H71" s="6" t="n"/>
    </row>
    <row r="72">
      <c r="A72" s="5" t="n"/>
      <c r="B72" s="5" t="n"/>
      <c r="C72" s="5" t="n"/>
      <c r="D72" s="5" t="n"/>
      <c r="E72" s="5" t="n"/>
      <c r="F72" s="6" t="n"/>
      <c r="G72" s="6" t="n"/>
      <c r="H72" s="6" t="n"/>
    </row>
    <row r="73">
      <c r="A73" s="5" t="n"/>
      <c r="B73" s="5" t="n"/>
      <c r="C73" s="5" t="n"/>
      <c r="D73" s="5" t="n"/>
      <c r="E73" s="5" t="n"/>
      <c r="F73" s="6" t="n"/>
      <c r="G73" s="6" t="n"/>
      <c r="H73" s="6" t="n"/>
    </row>
    <row r="74">
      <c r="A74" s="5" t="n"/>
      <c r="B74" s="5" t="n"/>
      <c r="C74" s="5" t="n"/>
      <c r="D74" s="5" t="n"/>
      <c r="E74" s="5" t="n"/>
      <c r="F74" s="6" t="n"/>
      <c r="G74" s="6" t="n"/>
      <c r="H74" s="6" t="n"/>
    </row>
    <row r="75">
      <c r="A75" s="5" t="n"/>
      <c r="B75" s="5" t="n"/>
      <c r="C75" s="5" t="n"/>
      <c r="D75" s="5" t="n"/>
      <c r="E75" s="5" t="n"/>
      <c r="F75" s="6" t="n"/>
      <c r="G75" s="6" t="n"/>
      <c r="H75" s="6" t="n"/>
    </row>
    <row r="76">
      <c r="A76" s="5" t="n"/>
      <c r="B76" s="5" t="n"/>
      <c r="C76" s="5" t="n"/>
      <c r="D76" s="5" t="n"/>
      <c r="E76" s="5" t="n"/>
      <c r="F76" s="6" t="n"/>
      <c r="G76" s="6" t="n"/>
      <c r="H76" s="6" t="n"/>
    </row>
    <row r="77">
      <c r="A77" s="5" t="n"/>
      <c r="B77" s="5" t="n"/>
      <c r="C77" s="5" t="n"/>
      <c r="D77" s="5" t="n"/>
      <c r="E77" s="5" t="n"/>
      <c r="F77" s="6" t="n"/>
      <c r="G77" s="6" t="n"/>
      <c r="H77" s="6" t="n"/>
    </row>
    <row r="78">
      <c r="A78" s="5" t="n"/>
      <c r="B78" s="5" t="n"/>
      <c r="C78" s="5" t="n"/>
      <c r="D78" s="5" t="n"/>
      <c r="E78" s="5" t="n"/>
      <c r="F78" s="6" t="n"/>
      <c r="G78" s="6" t="n"/>
      <c r="H78" s="6" t="n"/>
    </row>
    <row r="79">
      <c r="A79" s="5" t="n"/>
      <c r="B79" s="5" t="n"/>
      <c r="C79" s="5" t="n"/>
      <c r="D79" s="5" t="n"/>
      <c r="E79" s="5" t="n"/>
      <c r="F79" s="6" t="n"/>
      <c r="G79" s="6" t="n"/>
      <c r="H79" s="6" t="n"/>
    </row>
    <row r="80">
      <c r="A80" s="5" t="n"/>
      <c r="B80" s="5" t="n"/>
      <c r="C80" s="5" t="n"/>
      <c r="D80" s="5" t="n"/>
      <c r="E80" s="5" t="n"/>
      <c r="F80" s="6" t="n"/>
      <c r="G80" s="6" t="n"/>
      <c r="H80" s="6" t="n"/>
    </row>
    <row r="81">
      <c r="A81" s="5" t="n"/>
      <c r="B81" s="5" t="n"/>
      <c r="C81" s="5" t="n"/>
      <c r="D81" s="5" t="n"/>
      <c r="E81" s="5" t="n"/>
      <c r="F81" s="6" t="n"/>
      <c r="G81" s="6" t="n"/>
      <c r="H81" s="6" t="n"/>
    </row>
    <row r="82">
      <c r="A82" s="5" t="n"/>
      <c r="B82" s="5" t="n"/>
      <c r="C82" s="5" t="n"/>
      <c r="D82" s="5" t="n"/>
      <c r="E82" s="5" t="n"/>
      <c r="F82" s="6" t="n"/>
      <c r="G82" s="6" t="n"/>
      <c r="H82" s="6" t="n"/>
    </row>
    <row r="83">
      <c r="A83" s="5" t="n"/>
      <c r="B83" s="5" t="n"/>
      <c r="C83" s="5" t="n"/>
      <c r="D83" s="5" t="n"/>
      <c r="E83" s="5" t="n"/>
      <c r="F83" s="6" t="n"/>
      <c r="G83" s="6" t="n"/>
      <c r="H83" s="6" t="n"/>
    </row>
    <row r="84">
      <c r="A84" s="5" t="n"/>
      <c r="B84" s="5" t="n"/>
      <c r="C84" s="5" t="n"/>
      <c r="D84" s="5" t="n"/>
      <c r="E84" s="5" t="n"/>
      <c r="F84" s="6" t="n"/>
      <c r="G84" s="6" t="n"/>
      <c r="H84" s="6" t="n"/>
    </row>
    <row r="85">
      <c r="A85" s="5" t="n"/>
      <c r="B85" s="5" t="n"/>
      <c r="C85" s="5" t="n"/>
      <c r="D85" s="5" t="n"/>
      <c r="E85" s="5" t="n"/>
      <c r="F85" s="6" t="n"/>
      <c r="G85" s="6" t="n"/>
      <c r="H85" s="6" t="n"/>
    </row>
    <row r="86">
      <c r="A86" s="5" t="n"/>
      <c r="B86" s="5" t="n"/>
      <c r="C86" s="5" t="n"/>
      <c r="D86" s="5" t="n"/>
      <c r="E86" s="5" t="n"/>
      <c r="F86" s="6" t="n"/>
      <c r="G86" s="6" t="n"/>
      <c r="H86" s="6" t="n"/>
    </row>
    <row r="87">
      <c r="A87" s="5" t="n"/>
      <c r="B87" s="5" t="n"/>
      <c r="C87" s="5" t="n"/>
      <c r="D87" s="5" t="n"/>
      <c r="E87" s="5" t="n"/>
      <c r="F87" s="6" t="n"/>
      <c r="G87" s="6" t="n"/>
      <c r="H87" s="6" t="n"/>
    </row>
    <row r="88">
      <c r="A88" s="5" t="n"/>
      <c r="B88" s="5" t="n"/>
      <c r="C88" s="5" t="n"/>
      <c r="D88" s="5" t="n"/>
      <c r="E88" s="5" t="n"/>
      <c r="F88" s="6" t="n"/>
      <c r="G88" s="6" t="n"/>
      <c r="H88" s="6" t="n"/>
    </row>
    <row r="89">
      <c r="A89" s="5" t="n"/>
      <c r="B89" s="5" t="n"/>
      <c r="C89" s="5" t="n"/>
      <c r="D89" s="5" t="n"/>
      <c r="E89" s="5" t="n"/>
      <c r="F89" s="6" t="n"/>
      <c r="G89" s="6" t="n"/>
      <c r="H89" s="6" t="n"/>
    </row>
    <row r="90">
      <c r="A90" s="5" t="n"/>
      <c r="B90" s="5" t="n"/>
      <c r="C90" s="5" t="n"/>
      <c r="D90" s="5" t="n"/>
      <c r="E90" s="5" t="n"/>
      <c r="F90" s="6" t="n"/>
      <c r="G90" s="6" t="n"/>
      <c r="H90" s="6" t="n"/>
    </row>
    <row r="91">
      <c r="A91" s="5" t="n"/>
      <c r="B91" s="5" t="n"/>
      <c r="C91" s="5" t="n"/>
      <c r="D91" s="5" t="n"/>
      <c r="E91" s="5" t="n"/>
      <c r="F91" s="6" t="n"/>
      <c r="G91" s="6" t="n"/>
      <c r="H91" s="6" t="n"/>
    </row>
    <row r="92">
      <c r="A92" s="5" t="n"/>
      <c r="B92" s="5" t="n"/>
      <c r="C92" s="5" t="n"/>
      <c r="D92" s="5" t="n"/>
      <c r="E92" s="5" t="n"/>
      <c r="F92" s="6" t="n"/>
      <c r="G92" s="6" t="n"/>
      <c r="H92" s="6" t="n"/>
    </row>
    <row r="93">
      <c r="A93" s="5" t="n"/>
      <c r="B93" s="5" t="n"/>
      <c r="C93" s="5" t="n"/>
      <c r="D93" s="5" t="n"/>
      <c r="E93" s="5" t="n"/>
      <c r="F93" s="6" t="n"/>
      <c r="G93" s="6" t="n"/>
      <c r="H93" s="6" t="n"/>
    </row>
    <row r="94">
      <c r="A94" s="5" t="n"/>
      <c r="B94" s="5" t="n"/>
      <c r="C94" s="5" t="n"/>
      <c r="D94" s="5" t="n"/>
      <c r="E94" s="5" t="n"/>
      <c r="F94" s="6" t="n"/>
      <c r="G94" s="6" t="n"/>
      <c r="H94" s="6" t="n"/>
    </row>
    <row r="95">
      <c r="A95" s="5" t="n"/>
      <c r="B95" s="5" t="n"/>
      <c r="C95" s="5" t="n"/>
      <c r="D95" s="5" t="n"/>
      <c r="E95" s="5" t="n"/>
      <c r="F95" s="6" t="n"/>
      <c r="G95" s="6" t="n"/>
      <c r="H95" s="6" t="n"/>
    </row>
    <row r="96">
      <c r="A96" s="5" t="n"/>
      <c r="B96" s="5" t="n"/>
      <c r="C96" s="5" t="n"/>
      <c r="D96" s="5" t="n"/>
      <c r="E96" s="5" t="n"/>
      <c r="F96" s="6" t="n"/>
      <c r="G96" s="6" t="n"/>
      <c r="H96" s="6" t="n"/>
    </row>
    <row r="97">
      <c r="A97" s="5" t="n"/>
      <c r="B97" s="5" t="n"/>
      <c r="C97" s="5" t="n"/>
      <c r="D97" s="5" t="n"/>
      <c r="E97" s="5" t="n"/>
      <c r="F97" s="6" t="n"/>
      <c r="G97" s="6" t="n"/>
      <c r="H97" s="6" t="n"/>
    </row>
    <row r="98">
      <c r="A98" s="5" t="n"/>
      <c r="B98" s="5" t="n"/>
      <c r="C98" s="5" t="n"/>
      <c r="D98" s="5" t="n"/>
      <c r="E98" s="5" t="n"/>
      <c r="F98" s="6" t="n"/>
      <c r="G98" s="6" t="n"/>
      <c r="H98" s="6" t="n"/>
    </row>
    <row r="99">
      <c r="A99" s="5" t="n"/>
      <c r="B99" s="5" t="n"/>
      <c r="C99" s="5" t="n"/>
      <c r="D99" s="5" t="n"/>
      <c r="E99" s="5" t="n"/>
      <c r="F99" s="6" t="n"/>
      <c r="G99" s="6" t="n"/>
      <c r="H99" s="6" t="n"/>
    </row>
    <row r="100">
      <c r="A100" s="5" t="n"/>
      <c r="B100" s="5" t="n"/>
      <c r="C100" s="5" t="n"/>
      <c r="D100" s="5" t="n"/>
      <c r="E100" s="5" t="n"/>
      <c r="F100" s="6" t="n"/>
      <c r="G100" s="6" t="n"/>
      <c r="H100" s="6" t="n"/>
    </row>
    <row r="101">
      <c r="A101" s="5" t="n"/>
      <c r="B101" s="5" t="n"/>
      <c r="C101" s="5" t="n"/>
      <c r="D101" s="5" t="n"/>
      <c r="E101" s="5" t="n"/>
      <c r="F101" s="6" t="n"/>
      <c r="G101" s="6" t="n"/>
      <c r="H101" s="6" t="n"/>
    </row>
    <row r="102">
      <c r="A102" s="5" t="n"/>
      <c r="B102" s="5" t="n"/>
      <c r="C102" s="5" t="n"/>
      <c r="D102" s="5" t="n"/>
      <c r="E102" s="5" t="n"/>
      <c r="F102" s="6" t="n"/>
      <c r="G102" s="6" t="n"/>
      <c r="H102" s="6" t="n"/>
    </row>
    <row r="103">
      <c r="A103" s="5" t="n"/>
      <c r="B103" s="5" t="n"/>
      <c r="C103" s="5" t="n"/>
      <c r="D103" s="5" t="n"/>
      <c r="E103" s="5" t="n"/>
      <c r="F103" s="6" t="n"/>
      <c r="G103" s="6" t="n"/>
      <c r="H103" s="6" t="n"/>
    </row>
    <row r="104">
      <c r="A104" s="5" t="n"/>
      <c r="B104" s="5" t="n"/>
      <c r="C104" s="5" t="n"/>
      <c r="D104" s="5" t="n"/>
      <c r="E104" s="5" t="n"/>
      <c r="F104" s="6" t="n"/>
      <c r="G104" s="6" t="n"/>
      <c r="H104" s="6" t="n"/>
    </row>
    <row r="105">
      <c r="A105" s="5" t="n"/>
      <c r="B105" s="5" t="n"/>
      <c r="C105" s="5" t="n"/>
      <c r="D105" s="5" t="n"/>
      <c r="E105" s="5" t="n"/>
      <c r="F105" s="6" t="n"/>
      <c r="G105" s="6" t="n"/>
      <c r="H105" s="6" t="n"/>
    </row>
    <row r="106">
      <c r="A106" s="5" t="n"/>
      <c r="B106" s="5" t="n"/>
      <c r="C106" s="5" t="n"/>
      <c r="D106" s="5" t="n"/>
      <c r="E106" s="5" t="n"/>
      <c r="F106" s="6" t="n"/>
      <c r="G106" s="6" t="n"/>
      <c r="H106" s="6" t="n"/>
    </row>
    <row r="107">
      <c r="A107" s="5" t="n"/>
      <c r="B107" s="5" t="n"/>
      <c r="C107" s="5" t="n"/>
      <c r="D107" s="5" t="n"/>
      <c r="E107" s="5" t="n"/>
      <c r="F107" s="6" t="n"/>
      <c r="G107" s="6" t="n"/>
      <c r="H107" s="6" t="n"/>
    </row>
    <row r="108">
      <c r="A108" s="5" t="n"/>
      <c r="B108" s="5" t="n"/>
      <c r="C108" s="5" t="n"/>
      <c r="D108" s="5" t="n"/>
      <c r="E108" s="5" t="n"/>
      <c r="F108" s="6" t="n"/>
      <c r="G108" s="6" t="n"/>
      <c r="H108" s="6" t="n"/>
    </row>
    <row r="109">
      <c r="A109" s="5" t="n"/>
      <c r="B109" s="5" t="n"/>
      <c r="C109" s="5" t="n"/>
      <c r="D109" s="5" t="n"/>
      <c r="E109" s="5" t="n"/>
      <c r="F109" s="6" t="n"/>
      <c r="G109" s="6" t="n"/>
      <c r="H109" s="6" t="n"/>
    </row>
    <row r="110">
      <c r="A110" s="5" t="n"/>
      <c r="B110" s="5" t="n"/>
      <c r="C110" s="5" t="n"/>
      <c r="D110" s="5" t="n"/>
      <c r="E110" s="5" t="n"/>
      <c r="F110" s="6" t="n"/>
      <c r="G110" s="6" t="n"/>
      <c r="H110" s="6" t="n"/>
    </row>
    <row r="111">
      <c r="A111" s="5" t="n"/>
      <c r="B111" s="5" t="n"/>
      <c r="C111" s="5" t="n"/>
      <c r="D111" s="5" t="n"/>
      <c r="E111" s="5" t="n"/>
      <c r="F111" s="6" t="n"/>
      <c r="G111" s="6" t="n"/>
      <c r="H111" s="6" t="n"/>
    </row>
    <row r="112">
      <c r="A112" s="5" t="n"/>
      <c r="B112" s="5" t="n"/>
      <c r="C112" s="5" t="n"/>
      <c r="D112" s="5" t="n"/>
      <c r="E112" s="5" t="n"/>
      <c r="F112" s="6" t="n"/>
      <c r="G112" s="6" t="n"/>
      <c r="H112" s="6" t="n"/>
    </row>
    <row r="113">
      <c r="A113" s="5" t="n"/>
      <c r="B113" s="5" t="n"/>
      <c r="C113" s="5" t="n"/>
      <c r="D113" s="5" t="n"/>
      <c r="E113" s="5" t="n"/>
      <c r="F113" s="6" t="n"/>
      <c r="G113" s="6" t="n"/>
      <c r="H113" s="6" t="n"/>
    </row>
    <row r="114">
      <c r="A114" s="5" t="n"/>
      <c r="B114" s="5" t="n"/>
      <c r="C114" s="5" t="n"/>
      <c r="D114" s="5" t="n"/>
      <c r="E114" s="5" t="n"/>
      <c r="F114" s="6" t="n"/>
      <c r="G114" s="6" t="n"/>
      <c r="H114" s="6" t="n"/>
    </row>
    <row r="115">
      <c r="A115" s="5" t="n"/>
      <c r="B115" s="5" t="n"/>
      <c r="C115" s="5" t="n"/>
      <c r="D115" s="5" t="n"/>
      <c r="E115" s="5" t="n"/>
      <c r="F115" s="6" t="n"/>
      <c r="G115" s="6" t="n"/>
      <c r="H115" s="6" t="n"/>
    </row>
    <row r="116">
      <c r="A116" s="5" t="n"/>
      <c r="B116" s="5" t="n"/>
      <c r="C116" s="5" t="n"/>
      <c r="D116" s="5" t="n"/>
      <c r="E116" s="5" t="n"/>
      <c r="F116" s="6" t="n"/>
      <c r="G116" s="6" t="n"/>
      <c r="H116" s="6" t="n"/>
    </row>
    <row r="117">
      <c r="A117" s="5" t="n"/>
      <c r="B117" s="5" t="n"/>
      <c r="C117" s="5" t="n"/>
      <c r="D117" s="5" t="n"/>
      <c r="E117" s="5" t="n"/>
      <c r="F117" s="6" t="n"/>
      <c r="G117" s="6" t="n"/>
      <c r="H117" s="6" t="n"/>
    </row>
    <row r="118">
      <c r="A118" s="5" t="n"/>
      <c r="B118" s="5" t="n"/>
      <c r="C118" s="5" t="n"/>
      <c r="D118" s="5" t="n"/>
      <c r="E118" s="5" t="n"/>
      <c r="F118" s="6" t="n"/>
      <c r="G118" s="6" t="n"/>
      <c r="H118" s="6" t="n"/>
    </row>
    <row r="119">
      <c r="A119" s="5" t="n"/>
      <c r="B119" s="5" t="n"/>
      <c r="C119" s="5" t="n"/>
      <c r="D119" s="5" t="n"/>
      <c r="E119" s="5" t="n"/>
      <c r="F119" s="6" t="n"/>
      <c r="G119" s="6" t="n"/>
      <c r="H119" s="6" t="n"/>
    </row>
    <row r="120">
      <c r="A120" s="5" t="n"/>
      <c r="B120" s="5" t="n"/>
      <c r="C120" s="5" t="n"/>
      <c r="D120" s="5" t="n"/>
      <c r="E120" s="5" t="n"/>
      <c r="F120" s="6" t="n"/>
      <c r="G120" s="6" t="n"/>
      <c r="H120" s="6" t="n"/>
    </row>
    <row r="121">
      <c r="A121" s="5" t="n"/>
      <c r="B121" s="5" t="n"/>
      <c r="C121" s="5" t="n"/>
      <c r="D121" s="5" t="n"/>
      <c r="E121" s="5" t="n"/>
      <c r="F121" s="6" t="n"/>
      <c r="G121" s="6" t="n"/>
      <c r="H121" s="6" t="n"/>
    </row>
    <row r="122">
      <c r="A122" s="5" t="n"/>
      <c r="B122" s="5" t="n"/>
      <c r="C122" s="5" t="n"/>
      <c r="D122" s="5" t="n"/>
      <c r="E122" s="5" t="n"/>
      <c r="F122" s="6" t="n"/>
      <c r="G122" s="6" t="n"/>
      <c r="H122" s="6" t="n"/>
    </row>
    <row r="123">
      <c r="A123" s="5" t="n"/>
      <c r="B123" s="5" t="n"/>
      <c r="C123" s="5" t="n"/>
      <c r="D123" s="5" t="n"/>
      <c r="E123" s="5" t="n"/>
      <c r="F123" s="6" t="n"/>
      <c r="G123" s="6" t="n"/>
      <c r="H123" s="6" t="n"/>
    </row>
    <row r="124">
      <c r="A124" s="5" t="n"/>
      <c r="B124" s="5" t="n"/>
      <c r="C124" s="5" t="n"/>
      <c r="D124" s="5" t="n"/>
      <c r="E124" s="5" t="n"/>
      <c r="F124" s="6" t="n"/>
      <c r="G124" s="6" t="n"/>
      <c r="H124" s="6" t="n"/>
    </row>
    <row r="125">
      <c r="F125" s="2" t="n"/>
      <c r="G125" s="2" t="n"/>
      <c r="H125" s="2" t="n"/>
    </row>
    <row r="126">
      <c r="F126" s="2" t="n"/>
      <c r="G126" s="2" t="n"/>
      <c r="H126" s="2" t="n"/>
    </row>
    <row r="127">
      <c r="F127" s="2" t="n"/>
      <c r="G127" s="2" t="n"/>
      <c r="H127" s="2" t="n"/>
    </row>
    <row r="128">
      <c r="A128" s="8" t="inlineStr">
        <is>
          <t>2. Kapcsolódó bérezett és bérezetlen időszakok / jogcímek</t>
        </is>
      </c>
      <c r="F128" s="2" t="n"/>
      <c r="G128" s="2" t="n"/>
      <c r="H128" s="2" t="n"/>
    </row>
    <row r="129">
      <c r="F129" s="2" t="n"/>
      <c r="G129" s="2" t="n"/>
      <c r="H129" s="2" t="n"/>
    </row>
    <row r="130">
      <c r="A130" s="3" t="inlineStr">
        <is>
          <t>kapcsolat_azonosító</t>
        </is>
      </c>
      <c r="B130" s="3" t="inlineStr">
        <is>
          <t>tól</t>
        </is>
      </c>
      <c r="C130" s="3" t="inlineStr">
        <is>
          <t>ig</t>
        </is>
      </c>
      <c r="D130" s="3" t="inlineStr">
        <is>
          <t>napok</t>
        </is>
      </c>
      <c r="E130" s="3" t="inlineStr">
        <is>
          <t>munkáltató</t>
        </is>
      </c>
      <c r="F130" s="4" t="inlineStr">
        <is>
          <t>jogcím</t>
        </is>
      </c>
      <c r="G130" s="4" t="inlineStr">
        <is>
          <t>járulékalap</t>
        </is>
      </c>
      <c r="H130" s="4" t="inlineStr">
        <is>
          <t>nem_rendszeres</t>
        </is>
      </c>
      <c r="I130" s="3" t="inlineStr">
        <is>
          <t>járulék_összeg</t>
        </is>
      </c>
      <c r="J130" s="3" t="inlineStr">
        <is>
          <t>megjegyzés</t>
        </is>
      </c>
    </row>
    <row r="131">
      <c r="A131" s="5" t="n"/>
      <c r="B131" s="5" t="n"/>
      <c r="C131" s="5" t="n"/>
      <c r="D131" s="5" t="n"/>
      <c r="E131" s="5" t="n"/>
      <c r="F131" s="6" t="n"/>
      <c r="G131" s="6" t="n"/>
      <c r="H131" s="6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6" t="n"/>
      <c r="G132" s="6" t="n"/>
      <c r="H132" s="6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6" t="n"/>
      <c r="G133" s="6" t="n"/>
      <c r="H133" s="6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6" t="n"/>
      <c r="G134" s="6" t="n"/>
      <c r="H134" s="6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6" t="n"/>
      <c r="G135" s="6" t="n"/>
      <c r="H135" s="6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6" t="n"/>
      <c r="G136" s="6" t="n"/>
      <c r="H136" s="6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6" t="n"/>
      <c r="G137" s="6" t="n"/>
      <c r="H137" s="6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6" t="n"/>
      <c r="G138" s="6" t="n"/>
      <c r="H138" s="6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6" t="n"/>
      <c r="G139" s="6" t="n"/>
      <c r="H139" s="6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6" t="n"/>
      <c r="G140" s="6" t="n"/>
      <c r="H140" s="6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6" t="n"/>
      <c r="G141" s="6" t="n"/>
      <c r="H141" s="6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6" t="n"/>
      <c r="G142" s="6" t="n"/>
      <c r="H142" s="6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6" t="n"/>
      <c r="G143" s="6" t="n"/>
      <c r="H143" s="6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6" t="n"/>
      <c r="G144" s="6" t="n"/>
      <c r="H144" s="6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6" t="n"/>
      <c r="G145" s="6" t="n"/>
      <c r="H145" s="6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6" t="n"/>
      <c r="G146" s="6" t="n"/>
      <c r="H146" s="6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6" t="n"/>
      <c r="G147" s="6" t="n"/>
      <c r="H147" s="6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6" t="n"/>
      <c r="G148" s="6" t="n"/>
      <c r="H148" s="6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6" t="n"/>
      <c r="G149" s="6" t="n"/>
      <c r="H149" s="6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6" t="n"/>
      <c r="G150" s="6" t="n"/>
      <c r="H150" s="6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6" t="n"/>
      <c r="G151" s="6" t="n"/>
      <c r="H151" s="6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6" t="n"/>
      <c r="G152" s="6" t="n"/>
      <c r="H152" s="6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6" t="n"/>
      <c r="G153" s="6" t="n"/>
      <c r="H153" s="6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6" t="n"/>
      <c r="G154" s="6" t="n"/>
      <c r="H154" s="6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6" t="n"/>
      <c r="G155" s="6" t="n"/>
      <c r="H155" s="6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6" t="n"/>
      <c r="G156" s="6" t="n"/>
      <c r="H156" s="6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6" t="n"/>
      <c r="G157" s="6" t="n"/>
      <c r="H157" s="6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6" t="n"/>
      <c r="G158" s="6" t="n"/>
      <c r="H158" s="6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6" t="n"/>
      <c r="G159" s="6" t="n"/>
      <c r="H159" s="6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6" t="n"/>
      <c r="G160" s="6" t="n"/>
      <c r="H160" s="6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6" t="n"/>
      <c r="G161" s="6" t="n"/>
      <c r="H161" s="6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6" t="n"/>
      <c r="G162" s="6" t="n"/>
      <c r="H162" s="6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6" t="n"/>
      <c r="G163" s="6" t="n"/>
      <c r="H163" s="6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6" t="n"/>
      <c r="G164" s="6" t="n"/>
      <c r="H164" s="6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6" t="n"/>
      <c r="G165" s="6" t="n"/>
      <c r="H165" s="6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6" t="n"/>
      <c r="G166" s="6" t="n"/>
      <c r="H166" s="6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6" t="n"/>
      <c r="G167" s="6" t="n"/>
      <c r="H167" s="6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6" t="n"/>
      <c r="G168" s="6" t="n"/>
      <c r="H168" s="6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6" t="n"/>
      <c r="G169" s="6" t="n"/>
      <c r="H169" s="6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6" t="n"/>
      <c r="G170" s="6" t="n"/>
      <c r="H170" s="6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6" t="n"/>
      <c r="G171" s="6" t="n"/>
      <c r="H171" s="6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6" t="n"/>
      <c r="G172" s="6" t="n"/>
      <c r="H172" s="6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6" t="n"/>
      <c r="G173" s="6" t="n"/>
      <c r="H173" s="6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6" t="n"/>
      <c r="G174" s="6" t="n"/>
      <c r="H174" s="6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6" t="n"/>
      <c r="G175" s="6" t="n"/>
      <c r="H175" s="6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6" t="n"/>
      <c r="G176" s="6" t="n"/>
      <c r="H176" s="6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6" t="n"/>
      <c r="G177" s="6" t="n"/>
      <c r="H177" s="6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6" t="n"/>
      <c r="G178" s="6" t="n"/>
      <c r="H178" s="6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6" t="n"/>
      <c r="G179" s="6" t="n"/>
      <c r="H179" s="6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6" t="n"/>
      <c r="G180" s="6" t="n"/>
      <c r="H180" s="6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6" t="n"/>
      <c r="G181" s="6" t="n"/>
      <c r="H181" s="6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6" t="n"/>
      <c r="G182" s="6" t="n"/>
      <c r="H182" s="6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6" t="n"/>
      <c r="G183" s="6" t="n"/>
      <c r="H183" s="6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6" t="n"/>
      <c r="G184" s="6" t="n"/>
      <c r="H184" s="6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6" t="n"/>
      <c r="G185" s="6" t="n"/>
      <c r="H185" s="6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6" t="n"/>
      <c r="G186" s="6" t="n"/>
      <c r="H186" s="6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6" t="n"/>
      <c r="G187" s="6" t="n"/>
      <c r="H187" s="6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6" t="n"/>
      <c r="G188" s="6" t="n"/>
      <c r="H188" s="6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6" t="n"/>
      <c r="G189" s="6" t="n"/>
      <c r="H189" s="6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6" t="n"/>
      <c r="G190" s="6" t="n"/>
      <c r="H190" s="6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6" t="n"/>
      <c r="G191" s="6" t="n"/>
      <c r="H191" s="6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6" t="n"/>
      <c r="G192" s="6" t="n"/>
      <c r="H192" s="6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6" t="n"/>
      <c r="G193" s="6" t="n"/>
      <c r="H193" s="6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6" t="n"/>
      <c r="G194" s="6" t="n"/>
      <c r="H194" s="6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6" t="n"/>
      <c r="G195" s="6" t="n"/>
      <c r="H195" s="6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6" t="n"/>
      <c r="G196" s="6" t="n"/>
      <c r="H196" s="6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6" t="n"/>
      <c r="G197" s="6" t="n"/>
      <c r="H197" s="6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6" t="n"/>
      <c r="G198" s="6" t="n"/>
      <c r="H198" s="6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6" t="n"/>
      <c r="G199" s="6" t="n"/>
      <c r="H199" s="6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6" t="n"/>
      <c r="G200" s="6" t="n"/>
      <c r="H200" s="6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6" t="n"/>
      <c r="G201" s="6" t="n"/>
      <c r="H201" s="6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6" t="n"/>
      <c r="G202" s="6" t="n"/>
      <c r="H202" s="6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6" t="n"/>
      <c r="G203" s="6" t="n"/>
      <c r="H203" s="6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6" t="n"/>
      <c r="G204" s="6" t="n"/>
      <c r="H204" s="6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6" t="n"/>
      <c r="G205" s="6" t="n"/>
      <c r="H205" s="6" t="n"/>
      <c r="I205" s="5" t="n"/>
      <c r="J205" s="5" t="n"/>
    </row>
    <row r="206">
      <c r="A206" s="5" t="n"/>
      <c r="B206" s="5" t="n"/>
      <c r="C206" s="5" t="n"/>
      <c r="D206" s="5" t="n"/>
      <c r="E206" s="5" t="n"/>
      <c r="F206" s="6" t="n"/>
      <c r="G206" s="6" t="n"/>
      <c r="H206" s="6" t="n"/>
      <c r="I206" s="5" t="n"/>
      <c r="J206" s="5" t="n"/>
    </row>
    <row r="207">
      <c r="A207" s="5" t="n"/>
      <c r="B207" s="5" t="n"/>
      <c r="C207" s="5" t="n"/>
      <c r="D207" s="5" t="n"/>
      <c r="E207" s="5" t="n"/>
      <c r="F207" s="6" t="n"/>
      <c r="G207" s="6" t="n"/>
      <c r="H207" s="6" t="n"/>
      <c r="I207" s="5" t="n"/>
      <c r="J207" s="5" t="n"/>
    </row>
    <row r="208">
      <c r="A208" s="5" t="n"/>
      <c r="B208" s="5" t="n"/>
      <c r="C208" s="5" t="n"/>
      <c r="D208" s="5" t="n"/>
      <c r="E208" s="5" t="n"/>
      <c r="F208" s="6" t="n"/>
      <c r="G208" s="6" t="n"/>
      <c r="H208" s="6" t="n"/>
      <c r="I208" s="5" t="n"/>
      <c r="J208" s="5" t="n"/>
    </row>
    <row r="209">
      <c r="A209" s="5" t="n"/>
      <c r="B209" s="5" t="n"/>
      <c r="C209" s="5" t="n"/>
      <c r="D209" s="5" t="n"/>
      <c r="E209" s="5" t="n"/>
      <c r="F209" s="6" t="n"/>
      <c r="G209" s="6" t="n"/>
      <c r="H209" s="6" t="n"/>
      <c r="I209" s="5" t="n"/>
      <c r="J209" s="5" t="n"/>
    </row>
    <row r="210">
      <c r="A210" s="5" t="n"/>
      <c r="B210" s="5" t="n"/>
      <c r="C210" s="5" t="n"/>
      <c r="D210" s="5" t="n"/>
      <c r="E210" s="5" t="n"/>
      <c r="F210" s="6" t="n"/>
      <c r="G210" s="6" t="n"/>
      <c r="H210" s="6" t="n"/>
      <c r="I210" s="5" t="n"/>
      <c r="J210" s="5" t="n"/>
    </row>
    <row r="211">
      <c r="A211" s="5" t="n"/>
      <c r="B211" s="5" t="n"/>
      <c r="C211" s="5" t="n"/>
      <c r="D211" s="5" t="n"/>
      <c r="E211" s="5" t="n"/>
      <c r="F211" s="6" t="n"/>
      <c r="G211" s="6" t="n"/>
      <c r="H211" s="6" t="n"/>
      <c r="I211" s="5" t="n"/>
      <c r="J211" s="5" t="n"/>
    </row>
    <row r="212">
      <c r="A212" s="5" t="n"/>
      <c r="B212" s="5" t="n"/>
      <c r="C212" s="5" t="n"/>
      <c r="D212" s="5" t="n"/>
      <c r="E212" s="5" t="n"/>
      <c r="F212" s="6" t="n"/>
      <c r="G212" s="6" t="n"/>
      <c r="H212" s="6" t="n"/>
      <c r="I212" s="5" t="n"/>
      <c r="J212" s="5" t="n"/>
    </row>
    <row r="213">
      <c r="A213" s="5" t="n"/>
      <c r="B213" s="5" t="n"/>
      <c r="C213" s="5" t="n"/>
      <c r="D213" s="5" t="n"/>
      <c r="E213" s="5" t="n"/>
      <c r="F213" s="6" t="n"/>
      <c r="G213" s="6" t="n"/>
      <c r="H213" s="6" t="n"/>
      <c r="I213" s="5" t="n"/>
      <c r="J213" s="5" t="n"/>
    </row>
    <row r="214">
      <c r="A214" s="5" t="n"/>
      <c r="B214" s="5" t="n"/>
      <c r="C214" s="5" t="n"/>
      <c r="D214" s="5" t="n"/>
      <c r="E214" s="5" t="n"/>
      <c r="F214" s="6" t="n"/>
      <c r="G214" s="6" t="n"/>
      <c r="H214" s="6" t="n"/>
      <c r="I214" s="5" t="n"/>
      <c r="J214" s="5" t="n"/>
    </row>
    <row r="215">
      <c r="A215" s="5" t="n"/>
      <c r="B215" s="5" t="n"/>
      <c r="C215" s="5" t="n"/>
      <c r="D215" s="5" t="n"/>
      <c r="E215" s="5" t="n"/>
      <c r="F215" s="6" t="n"/>
      <c r="G215" s="6" t="n"/>
      <c r="H215" s="6" t="n"/>
      <c r="I215" s="5" t="n"/>
      <c r="J215" s="5" t="n"/>
    </row>
    <row r="216">
      <c r="A216" s="5" t="n"/>
      <c r="B216" s="5" t="n"/>
      <c r="C216" s="5" t="n"/>
      <c r="D216" s="5" t="n"/>
      <c r="E216" s="5" t="n"/>
      <c r="F216" s="6" t="n"/>
      <c r="G216" s="6" t="n"/>
      <c r="H216" s="6" t="n"/>
      <c r="I216" s="5" t="n"/>
      <c r="J216" s="5" t="n"/>
    </row>
    <row r="217">
      <c r="A217" s="5" t="n"/>
      <c r="B217" s="5" t="n"/>
      <c r="C217" s="5" t="n"/>
      <c r="D217" s="5" t="n"/>
      <c r="E217" s="5" t="n"/>
      <c r="F217" s="6" t="n"/>
      <c r="G217" s="6" t="n"/>
      <c r="H217" s="6" t="n"/>
      <c r="I217" s="5" t="n"/>
      <c r="J217" s="5" t="n"/>
    </row>
    <row r="218">
      <c r="A218" s="5" t="n"/>
      <c r="B218" s="5" t="n"/>
      <c r="C218" s="5" t="n"/>
      <c r="D218" s="5" t="n"/>
      <c r="E218" s="5" t="n"/>
      <c r="F218" s="6" t="n"/>
      <c r="G218" s="6" t="n"/>
      <c r="H218" s="6" t="n"/>
      <c r="I218" s="5" t="n"/>
      <c r="J218" s="5" t="n"/>
    </row>
    <row r="219">
      <c r="A219" s="5" t="n"/>
      <c r="B219" s="5" t="n"/>
      <c r="C219" s="5" t="n"/>
      <c r="D219" s="5" t="n"/>
      <c r="E219" s="5" t="n"/>
      <c r="F219" s="6" t="n"/>
      <c r="G219" s="6" t="n"/>
      <c r="H219" s="6" t="n"/>
      <c r="I219" s="5" t="n"/>
      <c r="J219" s="5" t="n"/>
    </row>
    <row r="220">
      <c r="A220" s="5" t="n"/>
      <c r="B220" s="5" t="n"/>
      <c r="C220" s="5" t="n"/>
      <c r="D220" s="5" t="n"/>
      <c r="E220" s="5" t="n"/>
      <c r="F220" s="6" t="n"/>
      <c r="G220" s="6" t="n"/>
      <c r="H220" s="6" t="n"/>
      <c r="I220" s="5" t="n"/>
      <c r="J220" s="5" t="n"/>
    </row>
    <row r="221">
      <c r="A221" s="5" t="n"/>
      <c r="B221" s="5" t="n"/>
      <c r="C221" s="5" t="n"/>
      <c r="D221" s="5" t="n"/>
      <c r="E221" s="5" t="n"/>
      <c r="F221" s="6" t="n"/>
      <c r="G221" s="6" t="n"/>
      <c r="H221" s="6" t="n"/>
      <c r="I221" s="5" t="n"/>
      <c r="J221" s="5" t="n"/>
    </row>
    <row r="222">
      <c r="A222" s="5" t="n"/>
      <c r="B222" s="5" t="n"/>
      <c r="C222" s="5" t="n"/>
      <c r="D222" s="5" t="n"/>
      <c r="E222" s="5" t="n"/>
      <c r="F222" s="6" t="n"/>
      <c r="G222" s="6" t="n"/>
      <c r="H222" s="6" t="n"/>
      <c r="I222" s="5" t="n"/>
      <c r="J222" s="5" t="n"/>
    </row>
    <row r="223">
      <c r="A223" s="5" t="n"/>
      <c r="B223" s="5" t="n"/>
      <c r="C223" s="5" t="n"/>
      <c r="D223" s="5" t="n"/>
      <c r="E223" s="5" t="n"/>
      <c r="F223" s="6" t="n"/>
      <c r="G223" s="6" t="n"/>
      <c r="H223" s="6" t="n"/>
      <c r="I223" s="5" t="n"/>
      <c r="J223" s="5" t="n"/>
    </row>
    <row r="224">
      <c r="A224" s="5" t="n"/>
      <c r="B224" s="5" t="n"/>
      <c r="C224" s="5" t="n"/>
      <c r="D224" s="5" t="n"/>
      <c r="E224" s="5" t="n"/>
      <c r="F224" s="6" t="n"/>
      <c r="G224" s="6" t="n"/>
      <c r="H224" s="6" t="n"/>
      <c r="I224" s="5" t="n"/>
      <c r="J224" s="5" t="n"/>
    </row>
    <row r="225">
      <c r="A225" s="5" t="n"/>
      <c r="B225" s="5" t="n"/>
      <c r="C225" s="5" t="n"/>
      <c r="D225" s="5" t="n"/>
      <c r="E225" s="5" t="n"/>
      <c r="F225" s="6" t="n"/>
      <c r="G225" s="6" t="n"/>
      <c r="H225" s="6" t="n"/>
      <c r="I225" s="5" t="n"/>
      <c r="J225" s="5" t="n"/>
    </row>
    <row r="226">
      <c r="A226" s="5" t="n"/>
      <c r="B226" s="5" t="n"/>
      <c r="C226" s="5" t="n"/>
      <c r="D226" s="5" t="n"/>
      <c r="E226" s="5" t="n"/>
      <c r="F226" s="6" t="n"/>
      <c r="G226" s="6" t="n"/>
      <c r="H226" s="6" t="n"/>
      <c r="I226" s="5" t="n"/>
      <c r="J226" s="5" t="n"/>
    </row>
    <row r="227">
      <c r="A227" s="5" t="n"/>
      <c r="B227" s="5" t="n"/>
      <c r="C227" s="5" t="n"/>
      <c r="D227" s="5" t="n"/>
      <c r="E227" s="5" t="n"/>
      <c r="F227" s="6" t="n"/>
      <c r="G227" s="6" t="n"/>
      <c r="H227" s="6" t="n"/>
      <c r="I227" s="5" t="n"/>
      <c r="J227" s="5" t="n"/>
    </row>
    <row r="228">
      <c r="A228" s="5" t="n"/>
      <c r="B228" s="5" t="n"/>
      <c r="C228" s="5" t="n"/>
      <c r="D228" s="5" t="n"/>
      <c r="E228" s="5" t="n"/>
      <c r="F228" s="6" t="n"/>
      <c r="G228" s="6" t="n"/>
      <c r="H228" s="6" t="n"/>
      <c r="I228" s="5" t="n"/>
      <c r="J228" s="5" t="n"/>
    </row>
    <row r="229">
      <c r="A229" s="5" t="n"/>
      <c r="B229" s="5" t="n"/>
      <c r="C229" s="5" t="n"/>
      <c r="D229" s="5" t="n"/>
      <c r="E229" s="5" t="n"/>
      <c r="F229" s="6" t="n"/>
      <c r="G229" s="6" t="n"/>
      <c r="H229" s="6" t="n"/>
      <c r="I229" s="5" t="n"/>
      <c r="J229" s="5" t="n"/>
    </row>
    <row r="230">
      <c r="A230" s="5" t="n"/>
      <c r="B230" s="5" t="n"/>
      <c r="C230" s="5" t="n"/>
      <c r="D230" s="5" t="n"/>
      <c r="E230" s="5" t="n"/>
      <c r="F230" s="6" t="n"/>
      <c r="G230" s="6" t="n"/>
      <c r="H230" s="6" t="n"/>
      <c r="I230" s="5" t="n"/>
      <c r="J230" s="5" t="n"/>
    </row>
    <row r="231">
      <c r="A231" s="5" t="n"/>
      <c r="B231" s="5" t="n"/>
      <c r="C231" s="5" t="n"/>
      <c r="D231" s="5" t="n"/>
      <c r="E231" s="5" t="n"/>
      <c r="F231" s="6" t="n"/>
      <c r="G231" s="6" t="n"/>
      <c r="H231" s="6" t="n"/>
      <c r="I231" s="5" t="n"/>
      <c r="J231" s="5" t="n"/>
    </row>
    <row r="232">
      <c r="A232" s="5" t="n"/>
      <c r="B232" s="5" t="n"/>
      <c r="C232" s="5" t="n"/>
      <c r="D232" s="5" t="n"/>
      <c r="E232" s="5" t="n"/>
      <c r="F232" s="6" t="n"/>
      <c r="G232" s="6" t="n"/>
      <c r="H232" s="6" t="n"/>
      <c r="I232" s="5" t="n"/>
      <c r="J232" s="5" t="n"/>
    </row>
    <row r="233">
      <c r="A233" s="5" t="n"/>
      <c r="B233" s="5" t="n"/>
      <c r="C233" s="5" t="n"/>
      <c r="D233" s="5" t="n"/>
      <c r="E233" s="5" t="n"/>
      <c r="F233" s="6" t="n"/>
      <c r="G233" s="6" t="n"/>
      <c r="H233" s="6" t="n"/>
      <c r="I233" s="5" t="n"/>
      <c r="J233" s="5" t="n"/>
    </row>
    <row r="234">
      <c r="A234" s="5" t="n"/>
      <c r="B234" s="5" t="n"/>
      <c r="C234" s="5" t="n"/>
      <c r="D234" s="5" t="n"/>
      <c r="E234" s="5" t="n"/>
      <c r="F234" s="6" t="n"/>
      <c r="G234" s="6" t="n"/>
      <c r="H234" s="6" t="n"/>
      <c r="I234" s="5" t="n"/>
      <c r="J234" s="5" t="n"/>
    </row>
    <row r="235">
      <c r="A235" s="5" t="n"/>
      <c r="B235" s="5" t="n"/>
      <c r="C235" s="5" t="n"/>
      <c r="D235" s="5" t="n"/>
      <c r="E235" s="5" t="n"/>
      <c r="F235" s="6" t="n"/>
      <c r="G235" s="6" t="n"/>
      <c r="H235" s="6" t="n"/>
      <c r="I235" s="5" t="n"/>
      <c r="J235" s="5" t="n"/>
    </row>
    <row r="236">
      <c r="A236" s="5" t="n"/>
      <c r="B236" s="5" t="n"/>
      <c r="C236" s="5" t="n"/>
      <c r="D236" s="5" t="n"/>
      <c r="E236" s="5" t="n"/>
      <c r="F236" s="6" t="n"/>
      <c r="G236" s="6" t="n"/>
      <c r="H236" s="6" t="n"/>
      <c r="I236" s="5" t="n"/>
      <c r="J236" s="5" t="n"/>
    </row>
    <row r="237">
      <c r="A237" s="5" t="n"/>
      <c r="B237" s="5" t="n"/>
      <c r="C237" s="5" t="n"/>
      <c r="D237" s="5" t="n"/>
      <c r="E237" s="5" t="n"/>
      <c r="F237" s="6" t="n"/>
      <c r="G237" s="6" t="n"/>
      <c r="H237" s="6" t="n"/>
      <c r="I237" s="5" t="n"/>
      <c r="J237" s="5" t="n"/>
    </row>
    <row r="238">
      <c r="A238" s="5" t="n"/>
      <c r="B238" s="5" t="n"/>
      <c r="C238" s="5" t="n"/>
      <c r="D238" s="5" t="n"/>
      <c r="E238" s="5" t="n"/>
      <c r="F238" s="6" t="n"/>
      <c r="G238" s="6" t="n"/>
      <c r="H238" s="6" t="n"/>
      <c r="I238" s="5" t="n"/>
      <c r="J238" s="5" t="n"/>
    </row>
    <row r="239">
      <c r="A239" s="5" t="n"/>
      <c r="B239" s="5" t="n"/>
      <c r="C239" s="5" t="n"/>
      <c r="D239" s="5" t="n"/>
      <c r="E239" s="5" t="n"/>
      <c r="F239" s="6" t="n"/>
      <c r="G239" s="6" t="n"/>
      <c r="H239" s="6" t="n"/>
      <c r="I239" s="5" t="n"/>
      <c r="J239" s="5" t="n"/>
    </row>
    <row r="240">
      <c r="A240" s="5" t="n"/>
      <c r="B240" s="5" t="n"/>
      <c r="C240" s="5" t="n"/>
      <c r="D240" s="5" t="n"/>
      <c r="E240" s="5" t="n"/>
      <c r="F240" s="6" t="n"/>
      <c r="G240" s="6" t="n"/>
      <c r="H240" s="6" t="n"/>
      <c r="I240" s="5" t="n"/>
      <c r="J240" s="5" t="n"/>
    </row>
    <row r="241">
      <c r="A241" s="5" t="n"/>
      <c r="B241" s="5" t="n"/>
      <c r="C241" s="5" t="n"/>
      <c r="D241" s="5" t="n"/>
      <c r="E241" s="5" t="n"/>
      <c r="F241" s="6" t="n"/>
      <c r="G241" s="6" t="n"/>
      <c r="H241" s="6" t="n"/>
      <c r="I241" s="5" t="n"/>
      <c r="J241" s="5" t="n"/>
    </row>
    <row r="242">
      <c r="A242" s="5" t="n"/>
      <c r="B242" s="5" t="n"/>
      <c r="C242" s="5" t="n"/>
      <c r="D242" s="5" t="n"/>
      <c r="E242" s="5" t="n"/>
      <c r="F242" s="6" t="n"/>
      <c r="G242" s="6" t="n"/>
      <c r="H242" s="6" t="n"/>
      <c r="I242" s="5" t="n"/>
      <c r="J242" s="5" t="n"/>
    </row>
    <row r="243">
      <c r="A243" s="5" t="n"/>
      <c r="B243" s="5" t="n"/>
      <c r="C243" s="5" t="n"/>
      <c r="D243" s="5" t="n"/>
      <c r="E243" s="5" t="n"/>
      <c r="F243" s="6" t="n"/>
      <c r="G243" s="6" t="n"/>
      <c r="H243" s="6" t="n"/>
      <c r="I243" s="5" t="n"/>
      <c r="J243" s="5" t="n"/>
    </row>
    <row r="244">
      <c r="A244" s="5" t="n"/>
      <c r="B244" s="5" t="n"/>
      <c r="C244" s="5" t="n"/>
      <c r="D244" s="5" t="n"/>
      <c r="E244" s="5" t="n"/>
      <c r="F244" s="6" t="n"/>
      <c r="G244" s="6" t="n"/>
      <c r="H244" s="6" t="n"/>
      <c r="I244" s="5" t="n"/>
      <c r="J244" s="5" t="n"/>
    </row>
    <row r="245">
      <c r="A245" s="5" t="n"/>
      <c r="B245" s="5" t="n"/>
      <c r="C245" s="5" t="n"/>
      <c r="D245" s="5" t="n"/>
      <c r="E245" s="5" t="n"/>
      <c r="F245" s="6" t="n"/>
      <c r="G245" s="6" t="n"/>
      <c r="H245" s="6" t="n"/>
      <c r="I245" s="5" t="n"/>
      <c r="J245" s="5" t="n"/>
    </row>
    <row r="246">
      <c r="A246" s="5" t="n"/>
      <c r="B246" s="5" t="n"/>
      <c r="C246" s="5" t="n"/>
      <c r="D246" s="5" t="n"/>
      <c r="E246" s="5" t="n"/>
      <c r="F246" s="6" t="n"/>
      <c r="G246" s="6" t="n"/>
      <c r="H246" s="6" t="n"/>
      <c r="I246" s="5" t="n"/>
      <c r="J246" s="5" t="n"/>
    </row>
    <row r="247">
      <c r="A247" s="5" t="n"/>
      <c r="B247" s="5" t="n"/>
      <c r="C247" s="5" t="n"/>
      <c r="D247" s="5" t="n"/>
      <c r="E247" s="5" t="n"/>
      <c r="F247" s="6" t="n"/>
      <c r="G247" s="6" t="n"/>
      <c r="H247" s="6" t="n"/>
      <c r="I247" s="5" t="n"/>
      <c r="J247" s="5" t="n"/>
    </row>
    <row r="248">
      <c r="A248" s="5" t="n"/>
      <c r="B248" s="5" t="n"/>
      <c r="C248" s="5" t="n"/>
      <c r="D248" s="5" t="n"/>
      <c r="E248" s="5" t="n"/>
      <c r="F248" s="6" t="n"/>
      <c r="G248" s="6" t="n"/>
      <c r="H248" s="6" t="n"/>
      <c r="I248" s="5" t="n"/>
      <c r="J248" s="5" t="n"/>
    </row>
    <row r="249">
      <c r="A249" s="5" t="n"/>
      <c r="B249" s="5" t="n"/>
      <c r="C249" s="5" t="n"/>
      <c r="D249" s="5" t="n"/>
      <c r="E249" s="5" t="n"/>
      <c r="F249" s="6" t="n"/>
      <c r="G249" s="6" t="n"/>
      <c r="H249" s="6" t="n"/>
      <c r="I249" s="5" t="n"/>
      <c r="J249" s="5" t="n"/>
    </row>
    <row r="250">
      <c r="A250" s="5" t="n"/>
      <c r="B250" s="5" t="n"/>
      <c r="C250" s="5" t="n"/>
      <c r="D250" s="5" t="n"/>
      <c r="E250" s="5" t="n"/>
      <c r="F250" s="6" t="n"/>
      <c r="G250" s="6" t="n"/>
      <c r="H250" s="6" t="n"/>
      <c r="I250" s="5" t="n"/>
      <c r="J250" s="5" t="n"/>
    </row>
    <row r="251">
      <c r="A251" s="5" t="n"/>
      <c r="B251" s="5" t="n"/>
      <c r="C251" s="5" t="n"/>
      <c r="D251" s="5" t="n"/>
      <c r="E251" s="5" t="n"/>
      <c r="F251" s="6" t="n"/>
      <c r="G251" s="6" t="n"/>
      <c r="H251" s="6" t="n"/>
      <c r="I251" s="5" t="n"/>
      <c r="J251" s="5" t="n"/>
    </row>
    <row r="252">
      <c r="A252" s="5" t="n"/>
      <c r="B252" s="5" t="n"/>
      <c r="C252" s="5" t="n"/>
      <c r="D252" s="5" t="n"/>
      <c r="E252" s="5" t="n"/>
      <c r="F252" s="6" t="n"/>
      <c r="G252" s="6" t="n"/>
      <c r="H252" s="6" t="n"/>
      <c r="I252" s="5" t="n"/>
      <c r="J252" s="5" t="n"/>
    </row>
    <row r="253">
      <c r="A253" s="5" t="n"/>
      <c r="B253" s="5" t="n"/>
      <c r="C253" s="5" t="n"/>
      <c r="D253" s="5" t="n"/>
      <c r="E253" s="5" t="n"/>
      <c r="F253" s="6" t="n"/>
      <c r="G253" s="6" t="n"/>
      <c r="H253" s="6" t="n"/>
      <c r="I253" s="5" t="n"/>
      <c r="J253" s="5" t="n"/>
    </row>
    <row r="254">
      <c r="A254" s="5" t="n"/>
      <c r="B254" s="5" t="n"/>
      <c r="C254" s="5" t="n"/>
      <c r="D254" s="5" t="n"/>
      <c r="E254" s="5" t="n"/>
      <c r="F254" s="6" t="n"/>
      <c r="G254" s="6" t="n"/>
      <c r="H254" s="6" t="n"/>
      <c r="I254" s="5" t="n"/>
      <c r="J254" s="5" t="n"/>
    </row>
    <row r="255">
      <c r="A255" s="5" t="n"/>
      <c r="B255" s="5" t="n"/>
      <c r="C255" s="5" t="n"/>
      <c r="D255" s="5" t="n"/>
      <c r="E255" s="5" t="n"/>
      <c r="F255" s="6" t="n"/>
      <c r="G255" s="6" t="n"/>
      <c r="H255" s="6" t="n"/>
      <c r="I255" s="5" t="n"/>
      <c r="J255" s="5" t="n"/>
    </row>
    <row r="256">
      <c r="A256" s="5" t="n"/>
      <c r="B256" s="5" t="n"/>
      <c r="C256" s="5" t="n"/>
      <c r="D256" s="5" t="n"/>
      <c r="E256" s="5" t="n"/>
      <c r="F256" s="6" t="n"/>
      <c r="G256" s="6" t="n"/>
      <c r="H256" s="6" t="n"/>
      <c r="I256" s="5" t="n"/>
      <c r="J256" s="5" t="n"/>
    </row>
    <row r="257">
      <c r="A257" s="5" t="n"/>
      <c r="B257" s="5" t="n"/>
      <c r="C257" s="5" t="n"/>
      <c r="D257" s="5" t="n"/>
      <c r="E257" s="5" t="n"/>
      <c r="F257" s="6" t="n"/>
      <c r="G257" s="6" t="n"/>
      <c r="H257" s="6" t="n"/>
      <c r="I257" s="5" t="n"/>
      <c r="J257" s="5" t="n"/>
    </row>
    <row r="258">
      <c r="A258" s="5" t="n"/>
      <c r="B258" s="5" t="n"/>
      <c r="C258" s="5" t="n"/>
      <c r="D258" s="5" t="n"/>
      <c r="E258" s="5" t="n"/>
      <c r="F258" s="6" t="n"/>
      <c r="G258" s="6" t="n"/>
      <c r="H258" s="6" t="n"/>
      <c r="I258" s="5" t="n"/>
      <c r="J258" s="5" t="n"/>
    </row>
    <row r="259">
      <c r="A259" s="5" t="n"/>
      <c r="B259" s="5" t="n"/>
      <c r="C259" s="5" t="n"/>
      <c r="D259" s="5" t="n"/>
      <c r="E259" s="5" t="n"/>
      <c r="F259" s="6" t="n"/>
      <c r="G259" s="6" t="n"/>
      <c r="H259" s="6" t="n"/>
      <c r="I259" s="5" t="n"/>
      <c r="J259" s="5" t="n"/>
    </row>
    <row r="260">
      <c r="A260" s="5" t="n"/>
      <c r="B260" s="5" t="n"/>
      <c r="C260" s="5" t="n"/>
      <c r="D260" s="5" t="n"/>
      <c r="E260" s="5" t="n"/>
      <c r="F260" s="6" t="n"/>
      <c r="G260" s="6" t="n"/>
      <c r="H260" s="6" t="n"/>
      <c r="I260" s="5" t="n"/>
      <c r="J260" s="5" t="n"/>
    </row>
    <row r="261">
      <c r="A261" s="5" t="n"/>
      <c r="B261" s="5" t="n"/>
      <c r="C261" s="5" t="n"/>
      <c r="D261" s="5" t="n"/>
      <c r="E261" s="5" t="n"/>
      <c r="F261" s="6" t="n"/>
      <c r="G261" s="6" t="n"/>
      <c r="H261" s="6" t="n"/>
      <c r="I261" s="5" t="n"/>
      <c r="J261" s="5" t="n"/>
    </row>
    <row r="262">
      <c r="A262" s="5" t="n"/>
      <c r="B262" s="5" t="n"/>
      <c r="C262" s="5" t="n"/>
      <c r="D262" s="5" t="n"/>
      <c r="E262" s="5" t="n"/>
      <c r="F262" s="6" t="n"/>
      <c r="G262" s="6" t="n"/>
      <c r="H262" s="6" t="n"/>
      <c r="I262" s="5" t="n"/>
      <c r="J262" s="5" t="n"/>
    </row>
    <row r="263">
      <c r="A263" s="5" t="n"/>
      <c r="B263" s="5" t="n"/>
      <c r="C263" s="5" t="n"/>
      <c r="D263" s="5" t="n"/>
      <c r="E263" s="5" t="n"/>
      <c r="F263" s="6" t="n"/>
      <c r="G263" s="6" t="n"/>
      <c r="H263" s="6" t="n"/>
      <c r="I263" s="5" t="n"/>
      <c r="J263" s="5" t="n"/>
    </row>
    <row r="264">
      <c r="A264" s="5" t="n"/>
      <c r="B264" s="5" t="n"/>
      <c r="C264" s="5" t="n"/>
      <c r="D264" s="5" t="n"/>
      <c r="E264" s="5" t="n"/>
      <c r="F264" s="6" t="n"/>
      <c r="G264" s="6" t="n"/>
      <c r="H264" s="6" t="n"/>
      <c r="I264" s="5" t="n"/>
      <c r="J264" s="5" t="n"/>
    </row>
    <row r="265">
      <c r="A265" s="5" t="n"/>
      <c r="B265" s="5" t="n"/>
      <c r="C265" s="5" t="n"/>
      <c r="D265" s="5" t="n"/>
      <c r="E265" s="5" t="n"/>
      <c r="F265" s="6" t="n"/>
      <c r="G265" s="6" t="n"/>
      <c r="H265" s="6" t="n"/>
      <c r="I265" s="5" t="n"/>
      <c r="J265" s="5" t="n"/>
    </row>
    <row r="266">
      <c r="A266" s="5" t="n"/>
      <c r="B266" s="5" t="n"/>
      <c r="C266" s="5" t="n"/>
      <c r="D266" s="5" t="n"/>
      <c r="E266" s="5" t="n"/>
      <c r="F266" s="6" t="n"/>
      <c r="G266" s="6" t="n"/>
      <c r="H266" s="6" t="n"/>
      <c r="I266" s="5" t="n"/>
      <c r="J266" s="5" t="n"/>
    </row>
    <row r="267">
      <c r="A267" s="5" t="n"/>
      <c r="B267" s="5" t="n"/>
      <c r="C267" s="5" t="n"/>
      <c r="D267" s="5" t="n"/>
      <c r="E267" s="5" t="n"/>
      <c r="F267" s="6" t="n"/>
      <c r="G267" s="6" t="n"/>
      <c r="H267" s="6" t="n"/>
      <c r="I267" s="5" t="n"/>
      <c r="J267" s="5" t="n"/>
    </row>
    <row r="268">
      <c r="A268" s="5" t="n"/>
      <c r="B268" s="5" t="n"/>
      <c r="C268" s="5" t="n"/>
      <c r="D268" s="5" t="n"/>
      <c r="E268" s="5" t="n"/>
      <c r="F268" s="6" t="n"/>
      <c r="G268" s="6" t="n"/>
      <c r="H268" s="6" t="n"/>
      <c r="I268" s="5" t="n"/>
      <c r="J268" s="5" t="n"/>
    </row>
    <row r="269">
      <c r="A269" s="5" t="n"/>
      <c r="B269" s="5" t="n"/>
      <c r="C269" s="5" t="n"/>
      <c r="D269" s="5" t="n"/>
      <c r="E269" s="5" t="n"/>
      <c r="F269" s="6" t="n"/>
      <c r="G269" s="6" t="n"/>
      <c r="H269" s="6" t="n"/>
      <c r="I269" s="5" t="n"/>
      <c r="J269" s="5" t="n"/>
    </row>
    <row r="270">
      <c r="A270" s="5" t="n"/>
      <c r="B270" s="5" t="n"/>
      <c r="C270" s="5" t="n"/>
      <c r="D270" s="5" t="n"/>
      <c r="E270" s="5" t="n"/>
      <c r="F270" s="6" t="n"/>
      <c r="G270" s="6" t="n"/>
      <c r="H270" s="6" t="n"/>
      <c r="I270" s="5" t="n"/>
      <c r="J270" s="5" t="n"/>
    </row>
    <row r="271">
      <c r="A271" s="5" t="n"/>
      <c r="B271" s="5" t="n"/>
      <c r="C271" s="5" t="n"/>
      <c r="D271" s="5" t="n"/>
      <c r="E271" s="5" t="n"/>
      <c r="F271" s="6" t="n"/>
      <c r="G271" s="6" t="n"/>
      <c r="H271" s="6" t="n"/>
      <c r="I271" s="5" t="n"/>
      <c r="J271" s="5" t="n"/>
    </row>
    <row r="272">
      <c r="A272" s="5" t="n"/>
      <c r="B272" s="5" t="n"/>
      <c r="C272" s="5" t="n"/>
      <c r="D272" s="5" t="n"/>
      <c r="E272" s="5" t="n"/>
      <c r="F272" s="6" t="n"/>
      <c r="G272" s="6" t="n"/>
      <c r="H272" s="6" t="n"/>
      <c r="I272" s="5" t="n"/>
      <c r="J272" s="5" t="n"/>
    </row>
    <row r="273">
      <c r="A273" s="5" t="n"/>
      <c r="B273" s="5" t="n"/>
      <c r="C273" s="5" t="n"/>
      <c r="D273" s="5" t="n"/>
      <c r="E273" s="5" t="n"/>
      <c r="F273" s="6" t="n"/>
      <c r="G273" s="6" t="n"/>
      <c r="H273" s="6" t="n"/>
      <c r="I273" s="5" t="n"/>
      <c r="J273" s="5" t="n"/>
    </row>
    <row r="274">
      <c r="A274" s="5" t="n"/>
      <c r="B274" s="5" t="n"/>
      <c r="C274" s="5" t="n"/>
      <c r="D274" s="5" t="n"/>
      <c r="E274" s="5" t="n"/>
      <c r="F274" s="6" t="n"/>
      <c r="G274" s="6" t="n"/>
      <c r="H274" s="6" t="n"/>
      <c r="I274" s="5" t="n"/>
      <c r="J274" s="5" t="n"/>
    </row>
    <row r="275">
      <c r="A275" s="5" t="n"/>
      <c r="B275" s="5" t="n"/>
      <c r="C275" s="5" t="n"/>
      <c r="D275" s="5" t="n"/>
      <c r="E275" s="5" t="n"/>
      <c r="F275" s="6" t="n"/>
      <c r="G275" s="6" t="n"/>
      <c r="H275" s="6" t="n"/>
      <c r="I275" s="5" t="n"/>
      <c r="J275" s="5" t="n"/>
    </row>
    <row r="276">
      <c r="A276" s="5" t="n"/>
      <c r="B276" s="5" t="n"/>
      <c r="C276" s="5" t="n"/>
      <c r="D276" s="5" t="n"/>
      <c r="E276" s="5" t="n"/>
      <c r="F276" s="6" t="n"/>
      <c r="G276" s="6" t="n"/>
      <c r="H276" s="6" t="n"/>
      <c r="I276" s="5" t="n"/>
      <c r="J276" s="5" t="n"/>
    </row>
    <row r="277">
      <c r="A277" s="5" t="n"/>
      <c r="B277" s="5" t="n"/>
      <c r="C277" s="5" t="n"/>
      <c r="D277" s="5" t="n"/>
      <c r="E277" s="5" t="n"/>
      <c r="F277" s="6" t="n"/>
      <c r="G277" s="6" t="n"/>
      <c r="H277" s="6" t="n"/>
      <c r="I277" s="5" t="n"/>
      <c r="J277" s="5" t="n"/>
    </row>
    <row r="278">
      <c r="A278" s="5" t="n"/>
      <c r="B278" s="5" t="n"/>
      <c r="C278" s="5" t="n"/>
      <c r="D278" s="5" t="n"/>
      <c r="E278" s="5" t="n"/>
      <c r="F278" s="6" t="n"/>
      <c r="G278" s="6" t="n"/>
      <c r="H278" s="6" t="n"/>
      <c r="I278" s="5" t="n"/>
      <c r="J278" s="5" t="n"/>
    </row>
    <row r="279">
      <c r="A279" s="5" t="n"/>
      <c r="B279" s="5" t="n"/>
      <c r="C279" s="5" t="n"/>
      <c r="D279" s="5" t="n"/>
      <c r="E279" s="5" t="n"/>
      <c r="F279" s="6" t="n"/>
      <c r="G279" s="6" t="n"/>
      <c r="H279" s="6" t="n"/>
      <c r="I279" s="5" t="n"/>
      <c r="J279" s="5" t="n"/>
    </row>
    <row r="280">
      <c r="A280" s="5" t="n"/>
      <c r="B280" s="5" t="n"/>
      <c r="C280" s="5" t="n"/>
      <c r="D280" s="5" t="n"/>
      <c r="E280" s="5" t="n"/>
      <c r="F280" s="6" t="n"/>
      <c r="G280" s="6" t="n"/>
      <c r="H280" s="6" t="n"/>
      <c r="I280" s="5" t="n"/>
      <c r="J280" s="5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8" customWidth="1" min="4" max="4"/>
    <col width="18" customWidth="1" min="5" max="5"/>
    <col width="16" customWidth="1" min="6" max="6"/>
    <col width="22" customWidth="1" min="7" max="7"/>
    <col width="20" customWidth="1" min="8" max="8"/>
    <col width="18" customWidth="1" min="9" max="9"/>
    <col width="46" customWidth="1" min="10" max="10"/>
  </cols>
  <sheetData>
    <row r="1">
      <c r="A1" s="1" t="inlineStr">
        <is>
          <t>Szabályok és prioritások</t>
        </is>
      </c>
    </row>
    <row r="2">
      <c r="A2" s="9" t="inlineStr">
        <is>
          <t>Javasolt prioritási rendszer: 0 kizárt, 1 elsődleges kereső jogviszony, 2 másodlagos kereső jogviszony, 3 gyermekellátási jogcím, 4 elfogadható, de nem kereső jellegű idő.</t>
        </is>
      </c>
    </row>
    <row r="4">
      <c r="A4" s="3" t="inlineStr">
        <is>
          <t>prioritás</t>
        </is>
      </c>
      <c r="B4" s="3" t="inlineStr">
        <is>
          <t>kategória</t>
        </is>
      </c>
      <c r="C4" s="3" t="inlineStr">
        <is>
          <t>napot_vihet</t>
        </is>
      </c>
      <c r="D4" s="3" t="inlineStr">
        <is>
          <t>bér_elfogadható</t>
        </is>
      </c>
      <c r="E4" s="3" t="inlineStr">
        <is>
          <t>leírás</t>
        </is>
      </c>
    </row>
    <row r="5">
      <c r="A5" s="5" t="n">
        <v>0</v>
      </c>
      <c r="B5" s="5" t="inlineStr">
        <is>
          <t>nem fogadható el szolgálati időnek</t>
        </is>
      </c>
      <c r="C5" s="5" t="inlineStr">
        <is>
          <t>NEM</t>
        </is>
      </c>
      <c r="D5" s="5" t="inlineStr">
        <is>
          <t>NEM</t>
        </is>
      </c>
      <c r="E5" s="5" t="inlineStr">
        <is>
          <t>Kizárt vagy minimum / kizáró feltétel miatt elutasított idő.</t>
        </is>
      </c>
    </row>
    <row r="6">
      <c r="A6" s="5" t="n">
        <v>1</v>
      </c>
      <c r="B6" s="5" t="inlineStr">
        <is>
          <t>elsődleges kereső jogviszony</t>
        </is>
      </c>
      <c r="C6" s="5" t="inlineStr">
        <is>
          <t>IGEN</t>
        </is>
      </c>
      <c r="D6" s="5" t="inlineStr">
        <is>
          <t>IGEN</t>
        </is>
      </c>
      <c r="E6" s="5" t="inlineStr">
        <is>
          <t>Munkaviszony, főállású egyéni vagy társas vállalkozás, ha van bér és nincs kizáró ok.</t>
        </is>
      </c>
    </row>
    <row r="7">
      <c r="A7" s="5" t="n">
        <v>2</v>
      </c>
      <c r="B7" s="5" t="inlineStr">
        <is>
          <t>másodlagos kereső jogviszony</t>
        </is>
      </c>
      <c r="C7" s="5" t="inlineStr">
        <is>
          <t>IGEN</t>
        </is>
      </c>
      <c r="D7" s="5" t="inlineStr">
        <is>
          <t>IGEN</t>
        </is>
      </c>
      <c r="E7" s="5" t="inlineStr">
        <is>
          <t>Megbízásos, EFO, bedolgozó, mellékes EV / társas tag, ha teljesíti a minimumfeltételeket.</t>
        </is>
      </c>
    </row>
    <row r="8">
      <c r="A8" s="5" t="n">
        <v>3</v>
      </c>
      <c r="B8" s="5" t="inlineStr">
        <is>
          <t>gyermekellátási jogcím</t>
        </is>
      </c>
      <c r="C8" s="5" t="inlineStr">
        <is>
          <t>IGEN</t>
        </is>
      </c>
      <c r="D8" s="5" t="inlineStr">
        <is>
          <t>NEM</t>
        </is>
      </c>
      <c r="E8" s="5" t="inlineStr">
        <is>
          <t>GYES, GYED, TGYÁS / CSED és hasonlók, ha nincs náluk magasabb prioritású elfogadható idő.</t>
        </is>
      </c>
    </row>
    <row r="9">
      <c r="A9" s="5" t="n">
        <v>4</v>
      </c>
      <c r="B9" s="5" t="inlineStr">
        <is>
          <t>elfogadható nem kereső idő</t>
        </is>
      </c>
      <c r="C9" s="5" t="inlineStr">
        <is>
          <t>IGEN</t>
        </is>
      </c>
      <c r="D9" s="5" t="inlineStr">
        <is>
          <t>NEM</t>
        </is>
      </c>
      <c r="E9" s="5" t="inlineStr">
        <is>
          <t>Táppénz, fizetés nélküli szabadság első 30 napja és hasonló N-típusú idők.</t>
        </is>
      </c>
    </row>
    <row r="12">
      <c r="A12" s="3" t="inlineStr">
        <is>
          <t>jogcím_megnevezés</t>
        </is>
      </c>
      <c r="B12" s="3" t="inlineStr">
        <is>
          <t>prioritás</t>
        </is>
      </c>
      <c r="C12" s="3" t="inlineStr">
        <is>
          <t>alap_kód</t>
        </is>
      </c>
      <c r="D12" s="3" t="inlineStr">
        <is>
          <t>munkaviszony_jellegű</t>
        </is>
      </c>
      <c r="E12" s="3" t="inlineStr">
        <is>
          <t>minimumbér_vizsgálat</t>
        </is>
      </c>
      <c r="F12" s="3" t="inlineStr">
        <is>
          <t>plafon_vizsgálat</t>
        </is>
      </c>
      <c r="G12" s="3" t="inlineStr">
        <is>
          <t>szüneteltetés_kizárhatja</t>
        </is>
      </c>
      <c r="H12" s="3" t="inlineStr">
        <is>
          <t>tartozás_kizárhatja</t>
        </is>
      </c>
      <c r="I12" s="3" t="inlineStr">
        <is>
          <t>gyermekes_jogcím</t>
        </is>
      </c>
      <c r="J12" s="3" t="inlineStr">
        <is>
          <t>megjegyzés</t>
        </is>
      </c>
    </row>
    <row r="13">
      <c r="A13" s="5" t="inlineStr">
        <is>
          <t>munkaviszony</t>
        </is>
      </c>
      <c r="B13" s="5" t="n">
        <v>1</v>
      </c>
      <c r="C13" s="5" t="inlineStr">
        <is>
          <t>J</t>
        </is>
      </c>
      <c r="D13" s="5" t="inlineStr">
        <is>
          <t>IGEN</t>
        </is>
      </c>
      <c r="E13" s="5" t="inlineStr">
        <is>
          <t>NEM</t>
        </is>
      </c>
      <c r="F13" s="5" t="inlineStr">
        <is>
          <t>IGEN</t>
        </is>
      </c>
      <c r="G13" s="5" t="inlineStr">
        <is>
          <t>NEM</t>
        </is>
      </c>
      <c r="H13" s="5" t="inlineStr">
        <is>
          <t>NEM</t>
        </is>
      </c>
      <c r="I13" s="5" t="inlineStr">
        <is>
          <t>NEM</t>
        </is>
      </c>
      <c r="J13" s="5" t="inlineStr">
        <is>
          <t>Ha bér &gt; 0, nap és bér elfogadható.</t>
        </is>
      </c>
    </row>
    <row r="14">
      <c r="A14" s="5" t="inlineStr">
        <is>
          <t>egyéni vállalkozó főállású</t>
        </is>
      </c>
      <c r="B14" s="5" t="n">
        <v>1</v>
      </c>
      <c r="C14" s="5" t="inlineStr">
        <is>
          <t>J</t>
        </is>
      </c>
      <c r="D14" s="5" t="inlineStr">
        <is>
          <t>NEM</t>
        </is>
      </c>
      <c r="E14" s="5" t="inlineStr">
        <is>
          <t>IGEN</t>
        </is>
      </c>
      <c r="F14" s="5" t="inlineStr">
        <is>
          <t>IGEN</t>
        </is>
      </c>
      <c r="G14" s="5" t="inlineStr">
        <is>
          <t>IGEN</t>
        </is>
      </c>
      <c r="H14" s="5" t="inlineStr">
        <is>
          <t>IGEN</t>
        </is>
      </c>
      <c r="I14" s="5" t="inlineStr">
        <is>
          <t>NEM</t>
        </is>
      </c>
      <c r="J14" s="5" t="inlineStr">
        <is>
          <t>Szüneteltetés és tartozás kizárhatja.</t>
        </is>
      </c>
    </row>
    <row r="15">
      <c r="A15" s="5" t="inlineStr">
        <is>
          <t>társas vállalkozás tagja főállású</t>
        </is>
      </c>
      <c r="B15" s="5" t="n">
        <v>1</v>
      </c>
      <c r="C15" s="5" t="inlineStr">
        <is>
          <t>J</t>
        </is>
      </c>
      <c r="D15" s="5" t="inlineStr">
        <is>
          <t>NEM</t>
        </is>
      </c>
      <c r="E15" s="5" t="inlineStr">
        <is>
          <t>IGEN</t>
        </is>
      </c>
      <c r="F15" s="5" t="inlineStr">
        <is>
          <t>IGEN</t>
        </is>
      </c>
      <c r="G15" s="5" t="inlineStr">
        <is>
          <t>NEM</t>
        </is>
      </c>
      <c r="H15" s="5" t="inlineStr">
        <is>
          <t>IGEN</t>
        </is>
      </c>
      <c r="I15" s="5" t="inlineStr">
        <is>
          <t>NEM</t>
        </is>
      </c>
      <c r="J15" s="5" t="inlineStr">
        <is>
          <t>Tartozás kizárhatja.</t>
        </is>
      </c>
    </row>
    <row r="16">
      <c r="A16" s="5" t="inlineStr">
        <is>
          <t>megbízásos</t>
        </is>
      </c>
      <c r="B16" s="5" t="n">
        <v>2</v>
      </c>
      <c r="C16" s="5" t="inlineStr">
        <is>
          <t>J</t>
        </is>
      </c>
      <c r="D16" s="5" t="inlineStr">
        <is>
          <t>NEM</t>
        </is>
      </c>
      <c r="E16" s="5" t="inlineStr">
        <is>
          <t>IGEN</t>
        </is>
      </c>
      <c r="F16" s="5" t="inlineStr">
        <is>
          <t>IGEN</t>
        </is>
      </c>
      <c r="G16" s="5" t="inlineStr">
        <is>
          <t>NEM</t>
        </is>
      </c>
      <c r="H16" s="5" t="inlineStr">
        <is>
          <t>NEM</t>
        </is>
      </c>
      <c r="I16" s="5" t="inlineStr">
        <is>
          <t>NEM</t>
        </is>
      </c>
      <c r="J16" s="5" t="inlineStr">
        <is>
          <t>Ha nincs munkaviszony és a bér nem éri el a minimumot, nap és bér sem fogadható el.</t>
        </is>
      </c>
    </row>
    <row r="17">
      <c r="A17" s="5" t="inlineStr">
        <is>
          <t>egyszerűsített foglalkoztatás</t>
        </is>
      </c>
      <c r="B17" s="5" t="n">
        <v>2</v>
      </c>
      <c r="C17" s="5" t="inlineStr">
        <is>
          <t>J</t>
        </is>
      </c>
      <c r="D17" s="5" t="inlineStr">
        <is>
          <t>NEM</t>
        </is>
      </c>
      <c r="E17" s="5" t="inlineStr">
        <is>
          <t>IGEN</t>
        </is>
      </c>
      <c r="F17" s="5" t="inlineStr">
        <is>
          <t>IGEN</t>
        </is>
      </c>
      <c r="G17" s="5" t="inlineStr">
        <is>
          <t>NEM</t>
        </is>
      </c>
      <c r="H17" s="5" t="inlineStr">
        <is>
          <t>NEM</t>
        </is>
      </c>
      <c r="I17" s="5" t="inlineStr">
        <is>
          <t>NEM</t>
        </is>
      </c>
      <c r="J17" s="5" t="inlineStr">
        <is>
          <t>Minimumfeltételhez kötött.</t>
        </is>
      </c>
    </row>
    <row r="18">
      <c r="A18" s="5" t="inlineStr">
        <is>
          <t>bedolgozó</t>
        </is>
      </c>
      <c r="B18" s="5" t="n">
        <v>2</v>
      </c>
      <c r="C18" s="5" t="inlineStr">
        <is>
          <t>J</t>
        </is>
      </c>
      <c r="D18" s="5" t="inlineStr">
        <is>
          <t>NEM</t>
        </is>
      </c>
      <c r="E18" s="5" t="inlineStr">
        <is>
          <t>IGEN</t>
        </is>
      </c>
      <c r="F18" s="5" t="inlineStr">
        <is>
          <t>IGEN</t>
        </is>
      </c>
      <c r="G18" s="5" t="inlineStr">
        <is>
          <t>NEM</t>
        </is>
      </c>
      <c r="H18" s="5" t="inlineStr">
        <is>
          <t>NEM</t>
        </is>
      </c>
      <c r="I18" s="5" t="inlineStr">
        <is>
          <t>NEM</t>
        </is>
      </c>
      <c r="J18" s="5" t="inlineStr">
        <is>
          <t>Minimumfeltételhez kötött.</t>
        </is>
      </c>
    </row>
    <row r="19">
      <c r="A19" s="5" t="inlineStr">
        <is>
          <t>egyéni vállalkozó munkaviszony mellett</t>
        </is>
      </c>
      <c r="B19" s="5" t="n">
        <v>2</v>
      </c>
      <c r="C19" s="5" t="inlineStr">
        <is>
          <t>J</t>
        </is>
      </c>
      <c r="D19" s="5" t="inlineStr">
        <is>
          <t>NEM</t>
        </is>
      </c>
      <c r="E19" s="5" t="inlineStr">
        <is>
          <t>IGEN</t>
        </is>
      </c>
      <c r="F19" s="5" t="inlineStr">
        <is>
          <t>IGEN</t>
        </is>
      </c>
      <c r="G19" s="5" t="inlineStr">
        <is>
          <t>IGEN</t>
        </is>
      </c>
      <c r="H19" s="5" t="inlineStr">
        <is>
          <t>IGEN</t>
        </is>
      </c>
      <c r="I19" s="5" t="inlineStr">
        <is>
          <t>NEM</t>
        </is>
      </c>
      <c r="J19" s="5" t="inlineStr">
        <is>
          <t>Csak ha a minimum és kizáró feltételek teljesülnek.</t>
        </is>
      </c>
    </row>
    <row r="20">
      <c r="A20" s="5" t="inlineStr">
        <is>
          <t>társas vállalkozás tagja munkaviszony mellett</t>
        </is>
      </c>
      <c r="B20" s="5" t="n">
        <v>2</v>
      </c>
      <c r="C20" s="5" t="inlineStr">
        <is>
          <t>J</t>
        </is>
      </c>
      <c r="D20" s="5" t="inlineStr">
        <is>
          <t>NEM</t>
        </is>
      </c>
      <c r="E20" s="5" t="inlineStr">
        <is>
          <t>IGEN</t>
        </is>
      </c>
      <c r="F20" s="5" t="inlineStr">
        <is>
          <t>IGEN</t>
        </is>
      </c>
      <c r="G20" s="5" t="inlineStr">
        <is>
          <t>NEM</t>
        </is>
      </c>
      <c r="H20" s="5" t="inlineStr">
        <is>
          <t>IGEN</t>
        </is>
      </c>
      <c r="I20" s="5" t="inlineStr">
        <is>
          <t>NEM</t>
        </is>
      </c>
      <c r="J20" s="5" t="inlineStr">
        <is>
          <t>Csak ha a minimum és kizáró feltételek teljesülnek.</t>
        </is>
      </c>
    </row>
    <row r="21">
      <c r="A21" s="5" t="inlineStr">
        <is>
          <t>GYES</t>
        </is>
      </c>
      <c r="B21" s="5" t="n">
        <v>3</v>
      </c>
      <c r="C21" s="5" t="inlineStr">
        <is>
          <t>G</t>
        </is>
      </c>
      <c r="D21" s="5" t="inlineStr">
        <is>
          <t>NEM</t>
        </is>
      </c>
      <c r="E21" s="5" t="inlineStr">
        <is>
          <t>NEM</t>
        </is>
      </c>
      <c r="F21" s="5" t="inlineStr">
        <is>
          <t>NEM</t>
        </is>
      </c>
      <c r="G21" s="5" t="inlineStr">
        <is>
          <t>NEM</t>
        </is>
      </c>
      <c r="H21" s="5" t="inlineStr">
        <is>
          <t>NEM</t>
        </is>
      </c>
      <c r="I21" s="5" t="inlineStr">
        <is>
          <t>IGEN</t>
        </is>
      </c>
      <c r="J21" s="5" t="inlineStr">
        <is>
          <t>Gyermekes jogcím.</t>
        </is>
      </c>
    </row>
    <row r="22">
      <c r="A22" s="5" t="inlineStr">
        <is>
          <t>GYED</t>
        </is>
      </c>
      <c r="B22" s="5" t="n">
        <v>3</v>
      </c>
      <c r="C22" s="5" t="inlineStr">
        <is>
          <t>G</t>
        </is>
      </c>
      <c r="D22" s="5" t="inlineStr">
        <is>
          <t>NEM</t>
        </is>
      </c>
      <c r="E22" s="5" t="inlineStr">
        <is>
          <t>NEM</t>
        </is>
      </c>
      <c r="F22" s="5" t="inlineStr">
        <is>
          <t>NEM</t>
        </is>
      </c>
      <c r="G22" s="5" t="inlineStr">
        <is>
          <t>NEM</t>
        </is>
      </c>
      <c r="H22" s="5" t="inlineStr">
        <is>
          <t>NEM</t>
        </is>
      </c>
      <c r="I22" s="5" t="inlineStr">
        <is>
          <t>IGEN</t>
        </is>
      </c>
      <c r="J22" s="5" t="inlineStr">
        <is>
          <t>Gyermekes jogcím.</t>
        </is>
      </c>
    </row>
    <row r="23">
      <c r="A23" s="5" t="inlineStr">
        <is>
          <t>TGYÁS</t>
        </is>
      </c>
      <c r="B23" s="5" t="n">
        <v>3</v>
      </c>
      <c r="C23" s="5" t="inlineStr">
        <is>
          <t>G</t>
        </is>
      </c>
      <c r="D23" s="5" t="inlineStr">
        <is>
          <t>NEM</t>
        </is>
      </c>
      <c r="E23" s="5" t="inlineStr">
        <is>
          <t>NEM</t>
        </is>
      </c>
      <c r="F23" s="5" t="inlineStr">
        <is>
          <t>NEM</t>
        </is>
      </c>
      <c r="G23" s="5" t="inlineStr">
        <is>
          <t>NEM</t>
        </is>
      </c>
      <c r="H23" s="5" t="inlineStr">
        <is>
          <t>NEM</t>
        </is>
      </c>
      <c r="I23" s="5" t="inlineStr">
        <is>
          <t>IGEN</t>
        </is>
      </c>
      <c r="J23" s="5" t="inlineStr">
        <is>
          <t>Gyermekes jogcím.</t>
        </is>
      </c>
    </row>
    <row r="24">
      <c r="A24" s="5" t="inlineStr">
        <is>
          <t>CSED</t>
        </is>
      </c>
      <c r="B24" s="5" t="n">
        <v>3</v>
      </c>
      <c r="C24" s="5" t="inlineStr">
        <is>
          <t>G</t>
        </is>
      </c>
      <c r="D24" s="5" t="inlineStr">
        <is>
          <t>NEM</t>
        </is>
      </c>
      <c r="E24" s="5" t="inlineStr">
        <is>
          <t>NEM</t>
        </is>
      </c>
      <c r="F24" s="5" t="inlineStr">
        <is>
          <t>NEM</t>
        </is>
      </c>
      <c r="G24" s="5" t="inlineStr">
        <is>
          <t>NEM</t>
        </is>
      </c>
      <c r="H24" s="5" t="inlineStr">
        <is>
          <t>NEM</t>
        </is>
      </c>
      <c r="I24" s="5" t="inlineStr">
        <is>
          <t>IGEN</t>
        </is>
      </c>
      <c r="J24" s="5" t="inlineStr">
        <is>
          <t>Gyermekes jogcím.</t>
        </is>
      </c>
    </row>
    <row r="25">
      <c r="A25" s="5" t="inlineStr">
        <is>
          <t>GYET</t>
        </is>
      </c>
      <c r="B25" s="5" t="n">
        <v>3</v>
      </c>
      <c r="C25" s="5" t="inlineStr">
        <is>
          <t>G</t>
        </is>
      </c>
      <c r="D25" s="5" t="inlineStr">
        <is>
          <t>NEM</t>
        </is>
      </c>
      <c r="E25" s="5" t="inlineStr">
        <is>
          <t>NEM</t>
        </is>
      </c>
      <c r="F25" s="5" t="inlineStr">
        <is>
          <t>NEM</t>
        </is>
      </c>
      <c r="G25" s="5" t="inlineStr">
        <is>
          <t>NEM</t>
        </is>
      </c>
      <c r="H25" s="5" t="inlineStr">
        <is>
          <t>NEM</t>
        </is>
      </c>
      <c r="I25" s="5" t="inlineStr">
        <is>
          <t>IGEN</t>
        </is>
      </c>
      <c r="J25" s="5" t="inlineStr">
        <is>
          <t>Gyermekes jogcím.</t>
        </is>
      </c>
    </row>
    <row r="26">
      <c r="A26" s="5" t="inlineStr">
        <is>
          <t>táppénz</t>
        </is>
      </c>
      <c r="B26" s="5" t="n">
        <v>4</v>
      </c>
      <c r="C26" s="5" t="inlineStr">
        <is>
          <t>N</t>
        </is>
      </c>
      <c r="D26" s="5" t="inlineStr">
        <is>
          <t>NEM</t>
        </is>
      </c>
      <c r="E26" s="5" t="inlineStr">
        <is>
          <t>NEM</t>
        </is>
      </c>
      <c r="F26" s="5" t="inlineStr">
        <is>
          <t>NEM</t>
        </is>
      </c>
      <c r="G26" s="5" t="inlineStr">
        <is>
          <t>NEM</t>
        </is>
      </c>
      <c r="H26" s="5" t="inlineStr">
        <is>
          <t>NEM</t>
        </is>
      </c>
      <c r="I26" s="5" t="inlineStr">
        <is>
          <t>NEM</t>
        </is>
      </c>
      <c r="J26" s="5" t="inlineStr">
        <is>
          <t>Szolgálati idő, de nem J.</t>
        </is>
      </c>
    </row>
    <row r="27">
      <c r="A27" s="5" t="inlineStr">
        <is>
          <t>fizetés nélküli szabadság első 30 nap</t>
        </is>
      </c>
      <c r="B27" s="5" t="n">
        <v>4</v>
      </c>
      <c r="C27" s="5" t="inlineStr">
        <is>
          <t>N</t>
        </is>
      </c>
      <c r="D27" s="5" t="inlineStr">
        <is>
          <t>NEM</t>
        </is>
      </c>
      <c r="E27" s="5" t="inlineStr">
        <is>
          <t>NEM</t>
        </is>
      </c>
      <c r="F27" s="5" t="inlineStr">
        <is>
          <t>NEM</t>
        </is>
      </c>
      <c r="G27" s="5" t="inlineStr">
        <is>
          <t>NEM</t>
        </is>
      </c>
      <c r="H27" s="5" t="inlineStr">
        <is>
          <t>NEM</t>
        </is>
      </c>
      <c r="I27" s="5" t="inlineStr">
        <is>
          <t>NEM</t>
        </is>
      </c>
      <c r="J27" s="5" t="inlineStr">
        <is>
          <t>N jellegű elfogadható idő.</t>
        </is>
      </c>
    </row>
    <row r="28">
      <c r="A28" s="5" t="inlineStr">
        <is>
          <t>fizetés nélküli szabadság 30 napon túli rész</t>
        </is>
      </c>
      <c r="B28" s="5" t="n">
        <v>0</v>
      </c>
      <c r="C28" s="5" t="inlineStr">
        <is>
          <t>X</t>
        </is>
      </c>
      <c r="D28" s="5" t="inlineStr">
        <is>
          <t>NEM</t>
        </is>
      </c>
      <c r="E28" s="5" t="inlineStr">
        <is>
          <t>NEM</t>
        </is>
      </c>
      <c r="F28" s="5" t="inlineStr">
        <is>
          <t>NEM</t>
        </is>
      </c>
      <c r="G28" s="5" t="inlineStr">
        <is>
          <t>NEM</t>
        </is>
      </c>
      <c r="H28" s="5" t="inlineStr">
        <is>
          <t>NEM</t>
        </is>
      </c>
      <c r="I28" s="5" t="inlineStr">
        <is>
          <t>NEM</t>
        </is>
      </c>
      <c r="J28" s="5" t="inlineStr">
        <is>
          <t>Kieső idő, ha nem gyermekgondozási vagy ápolási célú.</t>
        </is>
      </c>
    </row>
    <row r="29">
      <c r="A29" s="5" t="inlineStr">
        <is>
          <t>egyéni vállalkozó szüneteltetett idő</t>
        </is>
      </c>
      <c r="B29" s="5" t="n">
        <v>0</v>
      </c>
      <c r="C29" s="5" t="inlineStr">
        <is>
          <t>X</t>
        </is>
      </c>
      <c r="D29" s="5" t="inlineStr">
        <is>
          <t>NEM</t>
        </is>
      </c>
      <c r="E29" s="5" t="inlineStr">
        <is>
          <t>NEM</t>
        </is>
      </c>
      <c r="F29" s="5" t="inlineStr">
        <is>
          <t>NEM</t>
        </is>
      </c>
      <c r="G29" s="5" t="inlineStr">
        <is>
          <t>IGEN</t>
        </is>
      </c>
      <c r="H29" s="5" t="inlineStr">
        <is>
          <t>NEM</t>
        </is>
      </c>
      <c r="I29" s="5" t="inlineStr">
        <is>
          <t>NEM</t>
        </is>
      </c>
      <c r="J29" s="5" t="inlineStr">
        <is>
          <t>Automatikusan kizárt.</t>
        </is>
      </c>
    </row>
    <row r="30">
      <c r="A30" s="5" t="inlineStr">
        <is>
          <t>egyéni vállalkozó járuléktartozással</t>
        </is>
      </c>
      <c r="B30" s="5" t="n">
        <v>0</v>
      </c>
      <c r="C30" s="5" t="inlineStr">
        <is>
          <t>X</t>
        </is>
      </c>
      <c r="D30" s="5" t="inlineStr">
        <is>
          <t>NEM</t>
        </is>
      </c>
      <c r="E30" s="5" t="inlineStr">
        <is>
          <t>NEM</t>
        </is>
      </c>
      <c r="F30" s="5" t="inlineStr">
        <is>
          <t>NEM</t>
        </is>
      </c>
      <c r="G30" s="5" t="inlineStr">
        <is>
          <t>NEM</t>
        </is>
      </c>
      <c r="H30" s="5" t="inlineStr">
        <is>
          <t>IGEN</t>
        </is>
      </c>
      <c r="I30" s="5" t="inlineStr">
        <is>
          <t>NEM</t>
        </is>
      </c>
      <c r="J30" s="5" t="inlineStr">
        <is>
          <t>Automatikusan kizárt.</t>
        </is>
      </c>
    </row>
    <row r="31">
      <c r="A31" s="5" t="inlineStr">
        <is>
          <t>0 Ft-os egyéni vállalkozói idő</t>
        </is>
      </c>
      <c r="B31" s="5" t="n">
        <v>0</v>
      </c>
      <c r="C31" s="5" t="inlineStr">
        <is>
          <t>X</t>
        </is>
      </c>
      <c r="D31" s="5" t="inlineStr">
        <is>
          <t>NEM</t>
        </is>
      </c>
      <c r="E31" s="5" t="inlineStr">
        <is>
          <t>IGEN</t>
        </is>
      </c>
      <c r="F31" s="5" t="inlineStr">
        <is>
          <t>NEM</t>
        </is>
      </c>
      <c r="G31" s="5" t="inlineStr">
        <is>
          <t>NEM</t>
        </is>
      </c>
      <c r="H31" s="5" t="inlineStr">
        <is>
          <t>NEM</t>
        </is>
      </c>
      <c r="I31" s="5" t="inlineStr">
        <is>
          <t>NEM</t>
        </is>
      </c>
      <c r="J31" s="5" t="inlineStr">
        <is>
          <t>Minimum alatt nem fogadható el.</t>
        </is>
      </c>
    </row>
    <row r="32">
      <c r="A32" s="5" t="inlineStr">
        <is>
          <t>0 Ft-os megbízásos idő</t>
        </is>
      </c>
      <c r="B32" s="5" t="n">
        <v>0</v>
      </c>
      <c r="C32" s="5" t="inlineStr">
        <is>
          <t>X</t>
        </is>
      </c>
      <c r="D32" s="5" t="inlineStr">
        <is>
          <t>NEM</t>
        </is>
      </c>
      <c r="E32" s="5" t="inlineStr">
        <is>
          <t>IGEN</t>
        </is>
      </c>
      <c r="F32" s="5" t="inlineStr">
        <is>
          <t>NEM</t>
        </is>
      </c>
      <c r="G32" s="5" t="inlineStr">
        <is>
          <t>NEM</t>
        </is>
      </c>
      <c r="H32" s="5" t="inlineStr">
        <is>
          <t>NEM</t>
        </is>
      </c>
      <c r="I32" s="5" t="inlineStr">
        <is>
          <t>NEM</t>
        </is>
      </c>
      <c r="J32" s="5" t="inlineStr">
        <is>
          <t>Minimum alatt nem fogadható el.</t>
        </is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22" customWidth="1" min="7" max="7"/>
    <col width="28" customWidth="1" min="8" max="8"/>
    <col width="10" customWidth="1" min="9" max="9"/>
    <col width="10" customWidth="1" min="10" max="10"/>
    <col width="16" customWidth="1" min="11" max="11"/>
    <col width="18" customWidth="1" min="12" max="12"/>
    <col width="16" customWidth="1" min="13" max="13"/>
    <col width="20" customWidth="1" min="14" max="14"/>
    <col width="1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6" customWidth="1" min="20" max="20"/>
    <col width="16" customWidth="1" min="21" max="21"/>
    <col width="16" customWidth="1" min="22" max="22"/>
    <col width="16" customWidth="1" min="23" max="23"/>
    <col width="14" customWidth="1" min="24" max="24"/>
    <col width="18" customWidth="1" min="25" max="25"/>
    <col width="16" customWidth="1" min="26" max="26"/>
    <col width="12" customWidth="1" min="27" max="27"/>
    <col width="12" customWidth="1" min="28" max="28"/>
    <col width="16" customWidth="1" min="29" max="29"/>
    <col width="12" customWidth="1" min="30" max="30"/>
    <col width="14" customWidth="1" min="31" max="31"/>
    <col width="18" customWidth="1" min="32" max="32"/>
    <col width="14" customWidth="1" min="33" max="33"/>
    <col width="18" customWidth="1" min="34" max="34"/>
    <col width="16" customWidth="1" min="35" max="35"/>
    <col width="28" customWidth="1" min="36" max="36"/>
  </cols>
  <sheetData>
    <row r="1">
      <c r="A1" s="1" t="inlineStr">
        <is>
          <t>Átfedő idők és számítás</t>
        </is>
      </c>
      <c r="F1" s="2" t="n"/>
      <c r="G1" s="2" t="n"/>
      <c r="H1" s="2" t="n"/>
      <c r="Q1" s="2" t="n"/>
      <c r="R1" s="2" t="n"/>
      <c r="S1" s="2" t="n"/>
      <c r="T1" s="2" t="n"/>
      <c r="AE1" s="2" t="n"/>
      <c r="AF1" s="2" t="n"/>
      <c r="AG1" s="2" t="n"/>
      <c r="AH1" s="2" t="n"/>
      <c r="AI1" s="2" t="n"/>
    </row>
    <row r="2">
      <c r="A2" s="9" t="inlineStr">
        <is>
          <t>Ide kerüljenek a már megbontott, egymással ténylegesen átfedést vizsgálandó időszeletek. A bérplafon számítása sor-rendben fut, ezért egy éven belül előbb a munkaviszonyos, majd az egyéb elfogadható sorok legyenek fent; az utolsó túlfutó bér vágódik meg.</t>
        </is>
      </c>
      <c r="F2" s="2" t="n"/>
      <c r="G2" s="2" t="n"/>
      <c r="H2" s="2" t="n"/>
      <c r="Q2" s="2" t="n"/>
      <c r="R2" s="2" t="n"/>
      <c r="S2" s="2" t="n"/>
      <c r="T2" s="2" t="n"/>
      <c r="AE2" s="2" t="n"/>
      <c r="AF2" s="2" t="n"/>
      <c r="AG2" s="2" t="n"/>
      <c r="AH2" s="2" t="n"/>
      <c r="AI2" s="2" t="n"/>
    </row>
    <row r="3">
      <c r="F3" s="2" t="n"/>
      <c r="G3" s="2" t="n"/>
      <c r="H3" s="2" t="n"/>
      <c r="Q3" s="2" t="n"/>
      <c r="R3" s="2" t="n"/>
      <c r="S3" s="2" t="n"/>
      <c r="T3" s="2" t="n"/>
      <c r="AE3" s="2" t="n"/>
      <c r="AF3" s="2" t="n"/>
      <c r="AG3" s="2" t="n"/>
      <c r="AH3" s="2" t="n"/>
      <c r="AI3" s="2" t="n"/>
    </row>
    <row r="4">
      <c r="A4" s="10" t="inlineStr">
        <is>
          <t>sor_id</t>
        </is>
      </c>
      <c r="B4" s="10" t="inlineStr">
        <is>
          <t>tól</t>
        </is>
      </c>
      <c r="C4" s="10" t="inlineStr">
        <is>
          <t>ig</t>
        </is>
      </c>
      <c r="D4" s="10" t="inlineStr">
        <is>
          <t>napok</t>
        </is>
      </c>
      <c r="E4" s="10" t="inlineStr">
        <is>
          <t>év</t>
        </is>
      </c>
      <c r="F4" s="11" t="inlineStr">
        <is>
          <t>forrás_azonosító</t>
        </is>
      </c>
      <c r="G4" s="11" t="inlineStr">
        <is>
          <t>munkáltató</t>
        </is>
      </c>
      <c r="H4" s="11" t="inlineStr">
        <is>
          <t>jogcím</t>
        </is>
      </c>
      <c r="I4" s="10" t="inlineStr">
        <is>
          <t>prioritás</t>
        </is>
      </c>
      <c r="J4" s="10" t="inlineStr">
        <is>
          <t>alap_kód</t>
        </is>
      </c>
      <c r="K4" s="10" t="inlineStr">
        <is>
          <t>munkaviszony_jellegű?</t>
        </is>
      </c>
      <c r="L4" s="10" t="inlineStr">
        <is>
          <t>minimumbér_vizsgálat?</t>
        </is>
      </c>
      <c r="M4" s="10" t="inlineStr">
        <is>
          <t>plafon_vizsgálat?</t>
        </is>
      </c>
      <c r="N4" s="10" t="inlineStr">
        <is>
          <t>szüneteltetés_kizárhatja?</t>
        </is>
      </c>
      <c r="O4" s="10" t="inlineStr">
        <is>
          <t>tartozás_kizárhatja?</t>
        </is>
      </c>
      <c r="P4" s="10" t="inlineStr">
        <is>
          <t>közölt_napok</t>
        </is>
      </c>
      <c r="Q4" s="11" t="inlineStr">
        <is>
          <t>járulékalap</t>
        </is>
      </c>
      <c r="R4" s="11" t="inlineStr">
        <is>
          <t>nem_rendszeres</t>
        </is>
      </c>
      <c r="S4" s="11" t="inlineStr">
        <is>
          <t>összes_bér</t>
        </is>
      </c>
      <c r="T4" s="11" t="inlineStr">
        <is>
          <t>minimumbér_időszakra</t>
        </is>
      </c>
      <c r="U4" s="10" t="inlineStr">
        <is>
          <t>minimumot_eléri?</t>
        </is>
      </c>
      <c r="V4" s="10" t="inlineStr">
        <is>
          <t>szünetel_ez_időszakban?</t>
        </is>
      </c>
      <c r="W4" s="10" t="inlineStr">
        <is>
          <t>tartozás_kizárja?</t>
        </is>
      </c>
      <c r="X4" s="10" t="inlineStr">
        <is>
          <t>átfedési_csoport</t>
        </is>
      </c>
      <c r="Y4" s="10" t="inlineStr">
        <is>
          <t>azonos_prioritás_sorrend</t>
        </is>
      </c>
      <c r="Z4" s="10" t="inlineStr">
        <is>
          <t>csoport_max_prioritás</t>
        </is>
      </c>
      <c r="AA4" s="10" t="inlineStr">
        <is>
          <t>nap_nyertes?</t>
        </is>
      </c>
      <c r="AB4" s="10" t="inlineStr">
        <is>
          <t>végső_kód</t>
        </is>
      </c>
      <c r="AC4" s="10" t="inlineStr">
        <is>
          <t>elfogadott_szolg_nap</t>
        </is>
      </c>
      <c r="AD4" s="10" t="inlineStr">
        <is>
          <t>kieső_nap</t>
        </is>
      </c>
      <c r="AE4" s="11" t="inlineStr">
        <is>
          <t>éves_plafon</t>
        </is>
      </c>
      <c r="AF4" s="11" t="inlineStr">
        <is>
          <t>előző_elfogadott_bér_évben</t>
        </is>
      </c>
      <c r="AG4" s="11" t="inlineStr">
        <is>
          <t>maradék_plafon</t>
        </is>
      </c>
      <c r="AH4" s="11" t="inlineStr">
        <is>
          <t>előzetesen_elfogadható_bér</t>
        </is>
      </c>
      <c r="AI4" s="11" t="inlineStr">
        <is>
          <t>elfogadott_bér</t>
        </is>
      </c>
      <c r="AJ4" s="10" t="inlineStr">
        <is>
          <t>megjegyzés</t>
        </is>
      </c>
    </row>
    <row r="5">
      <c r="A5" s="5" t="n"/>
      <c r="B5" s="5" t="n"/>
      <c r="C5" s="5" t="n"/>
      <c r="D5" s="5">
        <f>IF(AND(B5&lt;&gt;"",C5&lt;&gt;""),C5-B5+1,"")</f>
        <v/>
      </c>
      <c r="E5" s="5">
        <f>IF(B5&lt;&gt;"",YEAR(B5),"")</f>
        <v/>
      </c>
      <c r="F5" s="6" t="n"/>
      <c r="G5" s="6" t="n"/>
      <c r="H5" s="6" t="n"/>
      <c r="I5" s="5">
        <f>IF(H5="","",IFERROR(INDEX(Szabályok!$B$13:$B$200,MATCH(H5,Szabályok!$A$13:$A$200,0)),""))</f>
        <v/>
      </c>
      <c r="J5" s="5">
        <f>IF(H5="","",IFERROR(INDEX(Szabályok!$C$13:$C$200,MATCH(H5,Szabályok!$A$13:$A$200,0)),""))</f>
        <v/>
      </c>
      <c r="K5" s="5">
        <f>IF(H5="","",IFERROR(INDEX(Szabályok!$D$13:$D$200,MATCH(H5,Szabályok!$A$13:$A$200,0)),""))</f>
        <v/>
      </c>
      <c r="L5" s="5">
        <f>IF(H5="","",IFERROR(INDEX(Szabályok!$E$13:$E$200,MATCH(H5,Szabályok!$A$13:$A$200,0)),""))</f>
        <v/>
      </c>
      <c r="M5" s="5">
        <f>IF(H5="","",IFERROR(INDEX(Szabályok!$F$13:$F$200,MATCH(H5,Szabályok!$A$13:$A$200,0)),""))</f>
        <v/>
      </c>
      <c r="N5" s="5">
        <f>IF(H5="","",IFERROR(INDEX(Szabályok!$G$13:$G$200,MATCH(H5,Szabályok!$A$13:$A$200,0)),""))</f>
        <v/>
      </c>
      <c r="O5" s="5">
        <f>IF(H5="","",IFERROR(INDEX(Szabályok!$H$13:$H$200,MATCH(H5,Szabályok!$A$13:$A$200,0)),""))</f>
        <v/>
      </c>
      <c r="P5" s="5" t="n"/>
      <c r="Q5" s="6" t="n"/>
      <c r="R5" s="6" t="n"/>
      <c r="S5" s="6">
        <f>IF(COUNT(Q5:R5)=0,"",SUM(Q5:R5))</f>
        <v/>
      </c>
      <c r="T5" s="6" t="n"/>
      <c r="U5" s="5">
        <f>IF(T5="","",IF(L5&lt;&gt;"IGEN","IGEN",IF(S5&gt;=T5,"IGEN","NEM")))</f>
        <v/>
      </c>
      <c r="V5" s="5" t="n"/>
      <c r="W5" s="5" t="n"/>
      <c r="X5" s="5" t="n"/>
      <c r="Y5" s="5" t="n"/>
      <c r="Z5" s="5">
        <f>IF(X5="","",IF(COUNTIFS($X$5:$X$304,X5,$I$5:$I$304,"&lt;"&amp;I5)=0,I5,""))</f>
        <v/>
      </c>
      <c r="AA5" s="5">
        <f>IF(X5="","",IF(COUNTIFS($X$5:$X$304,X5,$I$5:$I$304,"&lt;"&amp;I5)&gt;0,"NEM",IF(COUNTIFS($X$5:$X$304,X5,$I$5:$I$304,I5)=1,"IGEN",IF(Y5=1,"IGEN","NEM"))))</f>
        <v/>
      </c>
      <c r="AB5" s="5">
        <f>IF(OR(I5="",J5=""),"",IF(OR(I5=0,V5="IGEN",W5="IGEN"),"X",IF(AND(K5&lt;&gt;"IGEN",L5="IGEN",U5="NEM"),"X",IF(AA5="IGEN",J5,"X"))))</f>
        <v/>
      </c>
      <c r="AC5" s="5">
        <f>IF(AB5="X",0,IF(D5="","",D5))</f>
        <v/>
      </c>
      <c r="AD5" s="5">
        <f>IF(AB5="X",IF(D5="","",D5),0)</f>
        <v/>
      </c>
      <c r="AE5" s="6" t="n"/>
      <c r="AF5" s="6">
        <f>IF(E5="","",SUMIFS($AI$5:AI5,$E$5:E5,E5)-AI5)</f>
        <v/>
      </c>
      <c r="AG5" s="6">
        <f>IF(AE5="","",MAX(0,AE5-AF5))</f>
        <v/>
      </c>
      <c r="AH5" s="6">
        <f>IF(S5="","",IF(OR(I5=0,V5="IGEN",W5="IGEN"),0,IF(AND(K5&lt;&gt;"IGEN",L5="IGEN",U5="NEM"),0,S5)))</f>
        <v/>
      </c>
      <c r="AI5" s="6">
        <f>IF(AH5="","",IF(M5="IGEN",MIN(AH5,AG5),AH5))</f>
        <v/>
      </c>
      <c r="AJ5" s="5" t="n"/>
    </row>
    <row r="6">
      <c r="A6" s="5" t="n"/>
      <c r="B6" s="5" t="n"/>
      <c r="C6" s="5" t="n"/>
      <c r="D6" s="5">
        <f>IF(AND(B6&lt;&gt;"",C6&lt;&gt;""),C6-B6+1,"")</f>
        <v/>
      </c>
      <c r="E6" s="5">
        <f>IF(B6&lt;&gt;"",YEAR(B6),"")</f>
        <v/>
      </c>
      <c r="F6" s="6" t="n"/>
      <c r="G6" s="6" t="n"/>
      <c r="H6" s="6" t="n"/>
      <c r="I6" s="5">
        <f>IF(H6="","",IFERROR(INDEX(Szabályok!$B$13:$B$200,MATCH(H6,Szabályok!$A$13:$A$200,0)),""))</f>
        <v/>
      </c>
      <c r="J6" s="5">
        <f>IF(H6="","",IFERROR(INDEX(Szabályok!$C$13:$C$200,MATCH(H6,Szabályok!$A$13:$A$200,0)),""))</f>
        <v/>
      </c>
      <c r="K6" s="5">
        <f>IF(H6="","",IFERROR(INDEX(Szabályok!$D$13:$D$200,MATCH(H6,Szabályok!$A$13:$A$200,0)),""))</f>
        <v/>
      </c>
      <c r="L6" s="5">
        <f>IF(H6="","",IFERROR(INDEX(Szabályok!$E$13:$E$200,MATCH(H6,Szabályok!$A$13:$A$200,0)),""))</f>
        <v/>
      </c>
      <c r="M6" s="5">
        <f>IF(H6="","",IFERROR(INDEX(Szabályok!$F$13:$F$200,MATCH(H6,Szabályok!$A$13:$A$200,0)),""))</f>
        <v/>
      </c>
      <c r="N6" s="5">
        <f>IF(H6="","",IFERROR(INDEX(Szabályok!$G$13:$G$200,MATCH(H6,Szabályok!$A$13:$A$200,0)),""))</f>
        <v/>
      </c>
      <c r="O6" s="5">
        <f>IF(H6="","",IFERROR(INDEX(Szabályok!$H$13:$H$200,MATCH(H6,Szabályok!$A$13:$A$200,0)),""))</f>
        <v/>
      </c>
      <c r="P6" s="5" t="n"/>
      <c r="Q6" s="6" t="n"/>
      <c r="R6" s="6" t="n"/>
      <c r="S6" s="6">
        <f>IF(COUNT(Q6:R6)=0,"",SUM(Q6:R6))</f>
        <v/>
      </c>
      <c r="T6" s="6" t="n"/>
      <c r="U6" s="5">
        <f>IF(T6="","",IF(L6&lt;&gt;"IGEN","IGEN",IF(S6&gt;=T6,"IGEN","NEM")))</f>
        <v/>
      </c>
      <c r="V6" s="5" t="n"/>
      <c r="W6" s="5" t="n"/>
      <c r="X6" s="5" t="n"/>
      <c r="Y6" s="5" t="n"/>
      <c r="Z6" s="5">
        <f>IF(X6="","",IF(COUNTIFS($X$5:$X$304,X6,$I$5:$I$304,"&lt;"&amp;I6)=0,I6,""))</f>
        <v/>
      </c>
      <c r="AA6" s="5">
        <f>IF(X6="","",IF(COUNTIFS($X$5:$X$304,X6,$I$5:$I$304,"&lt;"&amp;I6)&gt;0,"NEM",IF(COUNTIFS($X$5:$X$304,X6,$I$5:$I$304,I6)=1,"IGEN",IF(Y6=1,"IGEN","NEM"))))</f>
        <v/>
      </c>
      <c r="AB6" s="5">
        <f>IF(OR(I6="",J6=""),"",IF(OR(I6=0,V6="IGEN",W6="IGEN"),"X",IF(AND(K6&lt;&gt;"IGEN",L6="IGEN",U6="NEM"),"X",IF(AA6="IGEN",J6,"X"))))</f>
        <v/>
      </c>
      <c r="AC6" s="5">
        <f>IF(AB6="X",0,IF(D6="","",D6))</f>
        <v/>
      </c>
      <c r="AD6" s="5">
        <f>IF(AB6="X",IF(D6="","",D6),0)</f>
        <v/>
      </c>
      <c r="AE6" s="6" t="n"/>
      <c r="AF6" s="6">
        <f>IF(E6="","",SUMIFS($AI$5:AI6,$E$5:E6,E6)-AI6)</f>
        <v/>
      </c>
      <c r="AG6" s="6">
        <f>IF(AE6="","",MAX(0,AE6-AF6))</f>
        <v/>
      </c>
      <c r="AH6" s="6">
        <f>IF(S6="","",IF(OR(I6=0,V6="IGEN",W6="IGEN"),0,IF(AND(K6&lt;&gt;"IGEN",L6="IGEN",U6="NEM"),0,S6)))</f>
        <v/>
      </c>
      <c r="AI6" s="6">
        <f>IF(AH6="","",IF(M6="IGEN",MIN(AH6,AG6),AH6))</f>
        <v/>
      </c>
      <c r="AJ6" s="5" t="n"/>
    </row>
    <row r="7">
      <c r="A7" s="5" t="n"/>
      <c r="B7" s="5" t="n"/>
      <c r="C7" s="5" t="n"/>
      <c r="D7" s="5">
        <f>IF(AND(B7&lt;&gt;"",C7&lt;&gt;""),C7-B7+1,"")</f>
        <v/>
      </c>
      <c r="E7" s="5">
        <f>IF(B7&lt;&gt;"",YEAR(B7),"")</f>
        <v/>
      </c>
      <c r="F7" s="6" t="n"/>
      <c r="G7" s="6" t="n"/>
      <c r="H7" s="6" t="n"/>
      <c r="I7" s="5">
        <f>IF(H7="","",IFERROR(INDEX(Szabályok!$B$13:$B$200,MATCH(H7,Szabályok!$A$13:$A$200,0)),""))</f>
        <v/>
      </c>
      <c r="J7" s="5">
        <f>IF(H7="","",IFERROR(INDEX(Szabályok!$C$13:$C$200,MATCH(H7,Szabályok!$A$13:$A$200,0)),""))</f>
        <v/>
      </c>
      <c r="K7" s="5">
        <f>IF(H7="","",IFERROR(INDEX(Szabályok!$D$13:$D$200,MATCH(H7,Szabályok!$A$13:$A$200,0)),""))</f>
        <v/>
      </c>
      <c r="L7" s="5">
        <f>IF(H7="","",IFERROR(INDEX(Szabályok!$E$13:$E$200,MATCH(H7,Szabályok!$A$13:$A$200,0)),""))</f>
        <v/>
      </c>
      <c r="M7" s="5">
        <f>IF(H7="","",IFERROR(INDEX(Szabályok!$F$13:$F$200,MATCH(H7,Szabályok!$A$13:$A$200,0)),""))</f>
        <v/>
      </c>
      <c r="N7" s="5">
        <f>IF(H7="","",IFERROR(INDEX(Szabályok!$G$13:$G$200,MATCH(H7,Szabályok!$A$13:$A$200,0)),""))</f>
        <v/>
      </c>
      <c r="O7" s="5">
        <f>IF(H7="","",IFERROR(INDEX(Szabályok!$H$13:$H$200,MATCH(H7,Szabályok!$A$13:$A$200,0)),""))</f>
        <v/>
      </c>
      <c r="P7" s="5" t="n"/>
      <c r="Q7" s="6" t="n"/>
      <c r="R7" s="6" t="n"/>
      <c r="S7" s="6">
        <f>IF(COUNT(Q7:R7)=0,"",SUM(Q7:R7))</f>
        <v/>
      </c>
      <c r="T7" s="6" t="n"/>
      <c r="U7" s="5">
        <f>IF(T7="","",IF(L7&lt;&gt;"IGEN","IGEN",IF(S7&gt;=T7,"IGEN","NEM")))</f>
        <v/>
      </c>
      <c r="V7" s="5" t="n"/>
      <c r="W7" s="5" t="n"/>
      <c r="X7" s="5" t="n"/>
      <c r="Y7" s="5" t="n"/>
      <c r="Z7" s="5">
        <f>IF(X7="","",IF(COUNTIFS($X$5:$X$304,X7,$I$5:$I$304,"&lt;"&amp;I7)=0,I7,""))</f>
        <v/>
      </c>
      <c r="AA7" s="5">
        <f>IF(X7="","",IF(COUNTIFS($X$5:$X$304,X7,$I$5:$I$304,"&lt;"&amp;I7)&gt;0,"NEM",IF(COUNTIFS($X$5:$X$304,X7,$I$5:$I$304,I7)=1,"IGEN",IF(Y7=1,"IGEN","NEM"))))</f>
        <v/>
      </c>
      <c r="AB7" s="5">
        <f>IF(OR(I7="",J7=""),"",IF(OR(I7=0,V7="IGEN",W7="IGEN"),"X",IF(AND(K7&lt;&gt;"IGEN",L7="IGEN",U7="NEM"),"X",IF(AA7="IGEN",J7,"X"))))</f>
        <v/>
      </c>
      <c r="AC7" s="5">
        <f>IF(AB7="X",0,IF(D7="","",D7))</f>
        <v/>
      </c>
      <c r="AD7" s="5">
        <f>IF(AB7="X",IF(D7="","",D7),0)</f>
        <v/>
      </c>
      <c r="AE7" s="6" t="n"/>
      <c r="AF7" s="6">
        <f>IF(E7="","",SUMIFS($AI$5:AI7,$E$5:E7,E7)-AI7)</f>
        <v/>
      </c>
      <c r="AG7" s="6">
        <f>IF(AE7="","",MAX(0,AE7-AF7))</f>
        <v/>
      </c>
      <c r="AH7" s="6">
        <f>IF(S7="","",IF(OR(I7=0,V7="IGEN",W7="IGEN"),0,IF(AND(K7&lt;&gt;"IGEN",L7="IGEN",U7="NEM"),0,S7)))</f>
        <v/>
      </c>
      <c r="AI7" s="6">
        <f>IF(AH7="","",IF(M7="IGEN",MIN(AH7,AG7),AH7))</f>
        <v/>
      </c>
      <c r="AJ7" s="5" t="n"/>
    </row>
    <row r="8">
      <c r="A8" s="5" t="n"/>
      <c r="B8" s="5" t="n"/>
      <c r="C8" s="5" t="n"/>
      <c r="D8" s="5">
        <f>IF(AND(B8&lt;&gt;"",C8&lt;&gt;""),C8-B8+1,"")</f>
        <v/>
      </c>
      <c r="E8" s="5">
        <f>IF(B8&lt;&gt;"",YEAR(B8),"")</f>
        <v/>
      </c>
      <c r="F8" s="6" t="n"/>
      <c r="G8" s="6" t="n"/>
      <c r="H8" s="6" t="n"/>
      <c r="I8" s="5">
        <f>IF(H8="","",IFERROR(INDEX(Szabályok!$B$13:$B$200,MATCH(H8,Szabályok!$A$13:$A$200,0)),""))</f>
        <v/>
      </c>
      <c r="J8" s="5">
        <f>IF(H8="","",IFERROR(INDEX(Szabályok!$C$13:$C$200,MATCH(H8,Szabályok!$A$13:$A$200,0)),""))</f>
        <v/>
      </c>
      <c r="K8" s="5">
        <f>IF(H8="","",IFERROR(INDEX(Szabályok!$D$13:$D$200,MATCH(H8,Szabályok!$A$13:$A$200,0)),""))</f>
        <v/>
      </c>
      <c r="L8" s="5">
        <f>IF(H8="","",IFERROR(INDEX(Szabályok!$E$13:$E$200,MATCH(H8,Szabályok!$A$13:$A$200,0)),""))</f>
        <v/>
      </c>
      <c r="M8" s="5">
        <f>IF(H8="","",IFERROR(INDEX(Szabályok!$F$13:$F$200,MATCH(H8,Szabályok!$A$13:$A$200,0)),""))</f>
        <v/>
      </c>
      <c r="N8" s="5">
        <f>IF(H8="","",IFERROR(INDEX(Szabályok!$G$13:$G$200,MATCH(H8,Szabályok!$A$13:$A$200,0)),""))</f>
        <v/>
      </c>
      <c r="O8" s="5">
        <f>IF(H8="","",IFERROR(INDEX(Szabályok!$H$13:$H$200,MATCH(H8,Szabályok!$A$13:$A$200,0)),""))</f>
        <v/>
      </c>
      <c r="P8" s="5" t="n"/>
      <c r="Q8" s="6" t="n"/>
      <c r="R8" s="6" t="n"/>
      <c r="S8" s="6">
        <f>IF(COUNT(Q8:R8)=0,"",SUM(Q8:R8))</f>
        <v/>
      </c>
      <c r="T8" s="6" t="n"/>
      <c r="U8" s="5">
        <f>IF(T8="","",IF(L8&lt;&gt;"IGEN","IGEN",IF(S8&gt;=T8,"IGEN","NEM")))</f>
        <v/>
      </c>
      <c r="V8" s="5" t="n"/>
      <c r="W8" s="5" t="n"/>
      <c r="X8" s="5" t="n"/>
      <c r="Y8" s="5" t="n"/>
      <c r="Z8" s="5">
        <f>IF(X8="","",IF(COUNTIFS($X$5:$X$304,X8,$I$5:$I$304,"&lt;"&amp;I8)=0,I8,""))</f>
        <v/>
      </c>
      <c r="AA8" s="5">
        <f>IF(X8="","",IF(COUNTIFS($X$5:$X$304,X8,$I$5:$I$304,"&lt;"&amp;I8)&gt;0,"NEM",IF(COUNTIFS($X$5:$X$304,X8,$I$5:$I$304,I8)=1,"IGEN",IF(Y8=1,"IGEN","NEM"))))</f>
        <v/>
      </c>
      <c r="AB8" s="5">
        <f>IF(OR(I8="",J8=""),"",IF(OR(I8=0,V8="IGEN",W8="IGEN"),"X",IF(AND(K8&lt;&gt;"IGEN",L8="IGEN",U8="NEM"),"X",IF(AA8="IGEN",J8,"X"))))</f>
        <v/>
      </c>
      <c r="AC8" s="5">
        <f>IF(AB8="X",0,IF(D8="","",D8))</f>
        <v/>
      </c>
      <c r="AD8" s="5">
        <f>IF(AB8="X",IF(D8="","",D8),0)</f>
        <v/>
      </c>
      <c r="AE8" s="6" t="n"/>
      <c r="AF8" s="6">
        <f>IF(E8="","",SUMIFS($AI$5:AI8,$E$5:E8,E8)-AI8)</f>
        <v/>
      </c>
      <c r="AG8" s="6">
        <f>IF(AE8="","",MAX(0,AE8-AF8))</f>
        <v/>
      </c>
      <c r="AH8" s="6">
        <f>IF(S8="","",IF(OR(I8=0,V8="IGEN",W8="IGEN"),0,IF(AND(K8&lt;&gt;"IGEN",L8="IGEN",U8="NEM"),0,S8)))</f>
        <v/>
      </c>
      <c r="AI8" s="6">
        <f>IF(AH8="","",IF(M8="IGEN",MIN(AH8,AG8),AH8))</f>
        <v/>
      </c>
      <c r="AJ8" s="5" t="n"/>
    </row>
    <row r="9">
      <c r="A9" s="5" t="n"/>
      <c r="B9" s="5" t="n"/>
      <c r="C9" s="5" t="n"/>
      <c r="D9" s="5">
        <f>IF(AND(B9&lt;&gt;"",C9&lt;&gt;""),C9-B9+1,"")</f>
        <v/>
      </c>
      <c r="E9" s="5">
        <f>IF(B9&lt;&gt;"",YEAR(B9),"")</f>
        <v/>
      </c>
      <c r="F9" s="6" t="n"/>
      <c r="G9" s="6" t="n"/>
      <c r="H9" s="6" t="n"/>
      <c r="I9" s="5">
        <f>IF(H9="","",IFERROR(INDEX(Szabályok!$B$13:$B$200,MATCH(H9,Szabályok!$A$13:$A$200,0)),""))</f>
        <v/>
      </c>
      <c r="J9" s="5">
        <f>IF(H9="","",IFERROR(INDEX(Szabályok!$C$13:$C$200,MATCH(H9,Szabályok!$A$13:$A$200,0)),""))</f>
        <v/>
      </c>
      <c r="K9" s="5">
        <f>IF(H9="","",IFERROR(INDEX(Szabályok!$D$13:$D$200,MATCH(H9,Szabályok!$A$13:$A$200,0)),""))</f>
        <v/>
      </c>
      <c r="L9" s="5">
        <f>IF(H9="","",IFERROR(INDEX(Szabályok!$E$13:$E$200,MATCH(H9,Szabályok!$A$13:$A$200,0)),""))</f>
        <v/>
      </c>
      <c r="M9" s="5">
        <f>IF(H9="","",IFERROR(INDEX(Szabályok!$F$13:$F$200,MATCH(H9,Szabályok!$A$13:$A$200,0)),""))</f>
        <v/>
      </c>
      <c r="N9" s="5">
        <f>IF(H9="","",IFERROR(INDEX(Szabályok!$G$13:$G$200,MATCH(H9,Szabályok!$A$13:$A$200,0)),""))</f>
        <v/>
      </c>
      <c r="O9" s="5">
        <f>IF(H9="","",IFERROR(INDEX(Szabályok!$H$13:$H$200,MATCH(H9,Szabályok!$A$13:$A$200,0)),""))</f>
        <v/>
      </c>
      <c r="P9" s="5" t="n"/>
      <c r="Q9" s="6" t="n"/>
      <c r="R9" s="6" t="n"/>
      <c r="S9" s="6">
        <f>IF(COUNT(Q9:R9)=0,"",SUM(Q9:R9))</f>
        <v/>
      </c>
      <c r="T9" s="6" t="n"/>
      <c r="U9" s="5">
        <f>IF(T9="","",IF(L9&lt;&gt;"IGEN","IGEN",IF(S9&gt;=T9,"IGEN","NEM")))</f>
        <v/>
      </c>
      <c r="V9" s="5" t="n"/>
      <c r="W9" s="5" t="n"/>
      <c r="X9" s="5" t="n"/>
      <c r="Y9" s="5" t="n"/>
      <c r="Z9" s="5">
        <f>IF(X9="","",IF(COUNTIFS($X$5:$X$304,X9,$I$5:$I$304,"&lt;"&amp;I9)=0,I9,""))</f>
        <v/>
      </c>
      <c r="AA9" s="5">
        <f>IF(X9="","",IF(COUNTIFS($X$5:$X$304,X9,$I$5:$I$304,"&lt;"&amp;I9)&gt;0,"NEM",IF(COUNTIFS($X$5:$X$304,X9,$I$5:$I$304,I9)=1,"IGEN",IF(Y9=1,"IGEN","NEM"))))</f>
        <v/>
      </c>
      <c r="AB9" s="5">
        <f>IF(OR(I9="",J9=""),"",IF(OR(I9=0,V9="IGEN",W9="IGEN"),"X",IF(AND(K9&lt;&gt;"IGEN",L9="IGEN",U9="NEM"),"X",IF(AA9="IGEN",J9,"X"))))</f>
        <v/>
      </c>
      <c r="AC9" s="5">
        <f>IF(AB9="X",0,IF(D9="","",D9))</f>
        <v/>
      </c>
      <c r="AD9" s="5">
        <f>IF(AB9="X",IF(D9="","",D9),0)</f>
        <v/>
      </c>
      <c r="AE9" s="6" t="n"/>
      <c r="AF9" s="6">
        <f>IF(E9="","",SUMIFS($AI$5:AI9,$E$5:E9,E9)-AI9)</f>
        <v/>
      </c>
      <c r="AG9" s="6">
        <f>IF(AE9="","",MAX(0,AE9-AF9))</f>
        <v/>
      </c>
      <c r="AH9" s="6">
        <f>IF(S9="","",IF(OR(I9=0,V9="IGEN",W9="IGEN"),0,IF(AND(K9&lt;&gt;"IGEN",L9="IGEN",U9="NEM"),0,S9)))</f>
        <v/>
      </c>
      <c r="AI9" s="6">
        <f>IF(AH9="","",IF(M9="IGEN",MIN(AH9,AG9),AH9))</f>
        <v/>
      </c>
      <c r="AJ9" s="5" t="n"/>
    </row>
    <row r="10">
      <c r="A10" s="5" t="n"/>
      <c r="B10" s="5" t="n"/>
      <c r="C10" s="5" t="n"/>
      <c r="D10" s="5">
        <f>IF(AND(B10&lt;&gt;"",C10&lt;&gt;""),C10-B10+1,"")</f>
        <v/>
      </c>
      <c r="E10" s="5">
        <f>IF(B10&lt;&gt;"",YEAR(B10),"")</f>
        <v/>
      </c>
      <c r="F10" s="6" t="n"/>
      <c r="G10" s="6" t="n"/>
      <c r="H10" s="6" t="n"/>
      <c r="I10" s="5">
        <f>IF(H10="","",IFERROR(INDEX(Szabályok!$B$13:$B$200,MATCH(H10,Szabályok!$A$13:$A$200,0)),""))</f>
        <v/>
      </c>
      <c r="J10" s="5">
        <f>IF(H10="","",IFERROR(INDEX(Szabályok!$C$13:$C$200,MATCH(H10,Szabályok!$A$13:$A$200,0)),""))</f>
        <v/>
      </c>
      <c r="K10" s="5">
        <f>IF(H10="","",IFERROR(INDEX(Szabályok!$D$13:$D$200,MATCH(H10,Szabályok!$A$13:$A$200,0)),""))</f>
        <v/>
      </c>
      <c r="L10" s="5">
        <f>IF(H10="","",IFERROR(INDEX(Szabályok!$E$13:$E$200,MATCH(H10,Szabályok!$A$13:$A$200,0)),""))</f>
        <v/>
      </c>
      <c r="M10" s="5">
        <f>IF(H10="","",IFERROR(INDEX(Szabályok!$F$13:$F$200,MATCH(H10,Szabályok!$A$13:$A$200,0)),""))</f>
        <v/>
      </c>
      <c r="N10" s="5">
        <f>IF(H10="","",IFERROR(INDEX(Szabályok!$G$13:$G$200,MATCH(H10,Szabályok!$A$13:$A$200,0)),""))</f>
        <v/>
      </c>
      <c r="O10" s="5">
        <f>IF(H10="","",IFERROR(INDEX(Szabályok!$H$13:$H$200,MATCH(H10,Szabályok!$A$13:$A$200,0)),""))</f>
        <v/>
      </c>
      <c r="P10" s="5" t="n"/>
      <c r="Q10" s="6" t="n"/>
      <c r="R10" s="6" t="n"/>
      <c r="S10" s="6">
        <f>IF(COUNT(Q10:R10)=0,"",SUM(Q10:R10))</f>
        <v/>
      </c>
      <c r="T10" s="6" t="n"/>
      <c r="U10" s="5">
        <f>IF(T10="","",IF(L10&lt;&gt;"IGEN","IGEN",IF(S10&gt;=T10,"IGEN","NEM")))</f>
        <v/>
      </c>
      <c r="V10" s="5" t="n"/>
      <c r="W10" s="5" t="n"/>
      <c r="X10" s="5" t="n"/>
      <c r="Y10" s="5" t="n"/>
      <c r="Z10" s="5">
        <f>IF(X10="","",IF(COUNTIFS($X$5:$X$304,X10,$I$5:$I$304,"&lt;"&amp;I10)=0,I10,""))</f>
        <v/>
      </c>
      <c r="AA10" s="5">
        <f>IF(X10="","",IF(COUNTIFS($X$5:$X$304,X10,$I$5:$I$304,"&lt;"&amp;I10)&gt;0,"NEM",IF(COUNTIFS($X$5:$X$304,X10,$I$5:$I$304,I10)=1,"IGEN",IF(Y10=1,"IGEN","NEM"))))</f>
        <v/>
      </c>
      <c r="AB10" s="5">
        <f>IF(OR(I10="",J10=""),"",IF(OR(I10=0,V10="IGEN",W10="IGEN"),"X",IF(AND(K10&lt;&gt;"IGEN",L10="IGEN",U10="NEM"),"X",IF(AA10="IGEN",J10,"X"))))</f>
        <v/>
      </c>
      <c r="AC10" s="5">
        <f>IF(AB10="X",0,IF(D10="","",D10))</f>
        <v/>
      </c>
      <c r="AD10" s="5">
        <f>IF(AB10="X",IF(D10="","",D10),0)</f>
        <v/>
      </c>
      <c r="AE10" s="6" t="n"/>
      <c r="AF10" s="6">
        <f>IF(E10="","",SUMIFS($AI$5:AI10,$E$5:E10,E10)-AI10)</f>
        <v/>
      </c>
      <c r="AG10" s="6">
        <f>IF(AE10="","",MAX(0,AE10-AF10))</f>
        <v/>
      </c>
      <c r="AH10" s="6">
        <f>IF(S10="","",IF(OR(I10=0,V10="IGEN",W10="IGEN"),0,IF(AND(K10&lt;&gt;"IGEN",L10="IGEN",U10="NEM"),0,S10)))</f>
        <v/>
      </c>
      <c r="AI10" s="6">
        <f>IF(AH10="","",IF(M10="IGEN",MIN(AH10,AG10),AH10))</f>
        <v/>
      </c>
      <c r="AJ10" s="5" t="n"/>
    </row>
    <row r="11">
      <c r="A11" s="5" t="n"/>
      <c r="B11" s="5" t="n"/>
      <c r="C11" s="5" t="n"/>
      <c r="D11" s="5">
        <f>IF(AND(B11&lt;&gt;"",C11&lt;&gt;""),C11-B11+1,"")</f>
        <v/>
      </c>
      <c r="E11" s="5">
        <f>IF(B11&lt;&gt;"",YEAR(B11),"")</f>
        <v/>
      </c>
      <c r="F11" s="6" t="n"/>
      <c r="G11" s="6" t="n"/>
      <c r="H11" s="6" t="n"/>
      <c r="I11" s="5">
        <f>IF(H11="","",IFERROR(INDEX(Szabályok!$B$13:$B$200,MATCH(H11,Szabályok!$A$13:$A$200,0)),""))</f>
        <v/>
      </c>
      <c r="J11" s="5">
        <f>IF(H11="","",IFERROR(INDEX(Szabályok!$C$13:$C$200,MATCH(H11,Szabályok!$A$13:$A$200,0)),""))</f>
        <v/>
      </c>
      <c r="K11" s="5">
        <f>IF(H11="","",IFERROR(INDEX(Szabályok!$D$13:$D$200,MATCH(H11,Szabályok!$A$13:$A$200,0)),""))</f>
        <v/>
      </c>
      <c r="L11" s="5">
        <f>IF(H11="","",IFERROR(INDEX(Szabályok!$E$13:$E$200,MATCH(H11,Szabályok!$A$13:$A$200,0)),""))</f>
        <v/>
      </c>
      <c r="M11" s="5">
        <f>IF(H11="","",IFERROR(INDEX(Szabályok!$F$13:$F$200,MATCH(H11,Szabályok!$A$13:$A$200,0)),""))</f>
        <v/>
      </c>
      <c r="N11" s="5">
        <f>IF(H11="","",IFERROR(INDEX(Szabályok!$G$13:$G$200,MATCH(H11,Szabályok!$A$13:$A$200,0)),""))</f>
        <v/>
      </c>
      <c r="O11" s="5">
        <f>IF(H11="","",IFERROR(INDEX(Szabályok!$H$13:$H$200,MATCH(H11,Szabályok!$A$13:$A$200,0)),""))</f>
        <v/>
      </c>
      <c r="P11" s="5" t="n"/>
      <c r="Q11" s="6" t="n"/>
      <c r="R11" s="6" t="n"/>
      <c r="S11" s="6">
        <f>IF(COUNT(Q11:R11)=0,"",SUM(Q11:R11))</f>
        <v/>
      </c>
      <c r="T11" s="6" t="n"/>
      <c r="U11" s="5">
        <f>IF(T11="","",IF(L11&lt;&gt;"IGEN","IGEN",IF(S11&gt;=T11,"IGEN","NEM")))</f>
        <v/>
      </c>
      <c r="V11" s="5" t="n"/>
      <c r="W11" s="5" t="n"/>
      <c r="X11" s="5" t="n"/>
      <c r="Y11" s="5" t="n"/>
      <c r="Z11" s="5">
        <f>IF(X11="","",IF(COUNTIFS($X$5:$X$304,X11,$I$5:$I$304,"&lt;"&amp;I11)=0,I11,""))</f>
        <v/>
      </c>
      <c r="AA11" s="5">
        <f>IF(X11="","",IF(COUNTIFS($X$5:$X$304,X11,$I$5:$I$304,"&lt;"&amp;I11)&gt;0,"NEM",IF(COUNTIFS($X$5:$X$304,X11,$I$5:$I$304,I11)=1,"IGEN",IF(Y11=1,"IGEN","NEM"))))</f>
        <v/>
      </c>
      <c r="AB11" s="5">
        <f>IF(OR(I11="",J11=""),"",IF(OR(I11=0,V11="IGEN",W11="IGEN"),"X",IF(AND(K11&lt;&gt;"IGEN",L11="IGEN",U11="NEM"),"X",IF(AA11="IGEN",J11,"X"))))</f>
        <v/>
      </c>
      <c r="AC11" s="5">
        <f>IF(AB11="X",0,IF(D11="","",D11))</f>
        <v/>
      </c>
      <c r="AD11" s="5">
        <f>IF(AB11="X",IF(D11="","",D11),0)</f>
        <v/>
      </c>
      <c r="AE11" s="6" t="n"/>
      <c r="AF11" s="6">
        <f>IF(E11="","",SUMIFS($AI$5:AI11,$E$5:E11,E11)-AI11)</f>
        <v/>
      </c>
      <c r="AG11" s="6">
        <f>IF(AE11="","",MAX(0,AE11-AF11))</f>
        <v/>
      </c>
      <c r="AH11" s="6">
        <f>IF(S11="","",IF(OR(I11=0,V11="IGEN",W11="IGEN"),0,IF(AND(K11&lt;&gt;"IGEN",L11="IGEN",U11="NEM"),0,S11)))</f>
        <v/>
      </c>
      <c r="AI11" s="6">
        <f>IF(AH11="","",IF(M11="IGEN",MIN(AH11,AG11),AH11))</f>
        <v/>
      </c>
      <c r="AJ11" s="5" t="n"/>
    </row>
    <row r="12">
      <c r="A12" s="5" t="n"/>
      <c r="B12" s="5" t="n"/>
      <c r="C12" s="5" t="n"/>
      <c r="D12" s="5">
        <f>IF(AND(B12&lt;&gt;"",C12&lt;&gt;""),C12-B12+1,"")</f>
        <v/>
      </c>
      <c r="E12" s="5">
        <f>IF(B12&lt;&gt;"",YEAR(B12),"")</f>
        <v/>
      </c>
      <c r="F12" s="6" t="n"/>
      <c r="G12" s="6" t="n"/>
      <c r="H12" s="6" t="n"/>
      <c r="I12" s="5">
        <f>IF(H12="","",IFERROR(INDEX(Szabályok!$B$13:$B$200,MATCH(H12,Szabályok!$A$13:$A$200,0)),""))</f>
        <v/>
      </c>
      <c r="J12" s="5">
        <f>IF(H12="","",IFERROR(INDEX(Szabályok!$C$13:$C$200,MATCH(H12,Szabályok!$A$13:$A$200,0)),""))</f>
        <v/>
      </c>
      <c r="K12" s="5">
        <f>IF(H12="","",IFERROR(INDEX(Szabályok!$D$13:$D$200,MATCH(H12,Szabályok!$A$13:$A$200,0)),""))</f>
        <v/>
      </c>
      <c r="L12" s="5">
        <f>IF(H12="","",IFERROR(INDEX(Szabályok!$E$13:$E$200,MATCH(H12,Szabályok!$A$13:$A$200,0)),""))</f>
        <v/>
      </c>
      <c r="M12" s="5">
        <f>IF(H12="","",IFERROR(INDEX(Szabályok!$F$13:$F$200,MATCH(H12,Szabályok!$A$13:$A$200,0)),""))</f>
        <v/>
      </c>
      <c r="N12" s="5">
        <f>IF(H12="","",IFERROR(INDEX(Szabályok!$G$13:$G$200,MATCH(H12,Szabályok!$A$13:$A$200,0)),""))</f>
        <v/>
      </c>
      <c r="O12" s="5">
        <f>IF(H12="","",IFERROR(INDEX(Szabályok!$H$13:$H$200,MATCH(H12,Szabályok!$A$13:$A$200,0)),""))</f>
        <v/>
      </c>
      <c r="P12" s="5" t="n"/>
      <c r="Q12" s="6" t="n"/>
      <c r="R12" s="6" t="n"/>
      <c r="S12" s="6">
        <f>IF(COUNT(Q12:R12)=0,"",SUM(Q12:R12))</f>
        <v/>
      </c>
      <c r="T12" s="6" t="n"/>
      <c r="U12" s="5">
        <f>IF(T12="","",IF(L12&lt;&gt;"IGEN","IGEN",IF(S12&gt;=T12,"IGEN","NEM")))</f>
        <v/>
      </c>
      <c r="V12" s="5" t="n"/>
      <c r="W12" s="5" t="n"/>
      <c r="X12" s="5" t="n"/>
      <c r="Y12" s="5" t="n"/>
      <c r="Z12" s="5">
        <f>IF(X12="","",IF(COUNTIFS($X$5:$X$304,X12,$I$5:$I$304,"&lt;"&amp;I12)=0,I12,""))</f>
        <v/>
      </c>
      <c r="AA12" s="5">
        <f>IF(X12="","",IF(COUNTIFS($X$5:$X$304,X12,$I$5:$I$304,"&lt;"&amp;I12)&gt;0,"NEM",IF(COUNTIFS($X$5:$X$304,X12,$I$5:$I$304,I12)=1,"IGEN",IF(Y12=1,"IGEN","NEM"))))</f>
        <v/>
      </c>
      <c r="AB12" s="5">
        <f>IF(OR(I12="",J12=""),"",IF(OR(I12=0,V12="IGEN",W12="IGEN"),"X",IF(AND(K12&lt;&gt;"IGEN",L12="IGEN",U12="NEM"),"X",IF(AA12="IGEN",J12,"X"))))</f>
        <v/>
      </c>
      <c r="AC12" s="5">
        <f>IF(AB12="X",0,IF(D12="","",D12))</f>
        <v/>
      </c>
      <c r="AD12" s="5">
        <f>IF(AB12="X",IF(D12="","",D12),0)</f>
        <v/>
      </c>
      <c r="AE12" s="6" t="n"/>
      <c r="AF12" s="6">
        <f>IF(E12="","",SUMIFS($AI$5:AI12,$E$5:E12,E12)-AI12)</f>
        <v/>
      </c>
      <c r="AG12" s="6">
        <f>IF(AE12="","",MAX(0,AE12-AF12))</f>
        <v/>
      </c>
      <c r="AH12" s="6">
        <f>IF(S12="","",IF(OR(I12=0,V12="IGEN",W12="IGEN"),0,IF(AND(K12&lt;&gt;"IGEN",L12="IGEN",U12="NEM"),0,S12)))</f>
        <v/>
      </c>
      <c r="AI12" s="6">
        <f>IF(AH12="","",IF(M12="IGEN",MIN(AH12,AG12),AH12))</f>
        <v/>
      </c>
      <c r="AJ12" s="5" t="n"/>
    </row>
    <row r="13">
      <c r="A13" s="5" t="n"/>
      <c r="B13" s="5" t="n"/>
      <c r="C13" s="5" t="n"/>
      <c r="D13" s="5">
        <f>IF(AND(B13&lt;&gt;"",C13&lt;&gt;""),C13-B13+1,"")</f>
        <v/>
      </c>
      <c r="E13" s="5">
        <f>IF(B13&lt;&gt;"",YEAR(B13),"")</f>
        <v/>
      </c>
      <c r="F13" s="6" t="n"/>
      <c r="G13" s="6" t="n"/>
      <c r="H13" s="6" t="n"/>
      <c r="I13" s="5">
        <f>IF(H13="","",IFERROR(INDEX(Szabályok!$B$13:$B$200,MATCH(H13,Szabályok!$A$13:$A$200,0)),""))</f>
        <v/>
      </c>
      <c r="J13" s="5">
        <f>IF(H13="","",IFERROR(INDEX(Szabályok!$C$13:$C$200,MATCH(H13,Szabályok!$A$13:$A$200,0)),""))</f>
        <v/>
      </c>
      <c r="K13" s="5">
        <f>IF(H13="","",IFERROR(INDEX(Szabályok!$D$13:$D$200,MATCH(H13,Szabályok!$A$13:$A$200,0)),""))</f>
        <v/>
      </c>
      <c r="L13" s="5">
        <f>IF(H13="","",IFERROR(INDEX(Szabályok!$E$13:$E$200,MATCH(H13,Szabályok!$A$13:$A$200,0)),""))</f>
        <v/>
      </c>
      <c r="M13" s="5">
        <f>IF(H13="","",IFERROR(INDEX(Szabályok!$F$13:$F$200,MATCH(H13,Szabályok!$A$13:$A$200,0)),""))</f>
        <v/>
      </c>
      <c r="N13" s="5">
        <f>IF(H13="","",IFERROR(INDEX(Szabályok!$G$13:$G$200,MATCH(H13,Szabályok!$A$13:$A$200,0)),""))</f>
        <v/>
      </c>
      <c r="O13" s="5">
        <f>IF(H13="","",IFERROR(INDEX(Szabályok!$H$13:$H$200,MATCH(H13,Szabályok!$A$13:$A$200,0)),""))</f>
        <v/>
      </c>
      <c r="P13" s="5" t="n"/>
      <c r="Q13" s="6" t="n"/>
      <c r="R13" s="6" t="n"/>
      <c r="S13" s="6">
        <f>IF(COUNT(Q13:R13)=0,"",SUM(Q13:R13))</f>
        <v/>
      </c>
      <c r="T13" s="6" t="n"/>
      <c r="U13" s="5">
        <f>IF(T13="","",IF(L13&lt;&gt;"IGEN","IGEN",IF(S13&gt;=T13,"IGEN","NEM")))</f>
        <v/>
      </c>
      <c r="V13" s="5" t="n"/>
      <c r="W13" s="5" t="n"/>
      <c r="X13" s="5" t="n"/>
      <c r="Y13" s="5" t="n"/>
      <c r="Z13" s="5">
        <f>IF(X13="","",IF(COUNTIFS($X$5:$X$304,X13,$I$5:$I$304,"&lt;"&amp;I13)=0,I13,""))</f>
        <v/>
      </c>
      <c r="AA13" s="5">
        <f>IF(X13="","",IF(COUNTIFS($X$5:$X$304,X13,$I$5:$I$304,"&lt;"&amp;I13)&gt;0,"NEM",IF(COUNTIFS($X$5:$X$304,X13,$I$5:$I$304,I13)=1,"IGEN",IF(Y13=1,"IGEN","NEM"))))</f>
        <v/>
      </c>
      <c r="AB13" s="5">
        <f>IF(OR(I13="",J13=""),"",IF(OR(I13=0,V13="IGEN",W13="IGEN"),"X",IF(AND(K13&lt;&gt;"IGEN",L13="IGEN",U13="NEM"),"X",IF(AA13="IGEN",J13,"X"))))</f>
        <v/>
      </c>
      <c r="AC13" s="5">
        <f>IF(AB13="X",0,IF(D13="","",D13))</f>
        <v/>
      </c>
      <c r="AD13" s="5">
        <f>IF(AB13="X",IF(D13="","",D13),0)</f>
        <v/>
      </c>
      <c r="AE13" s="6" t="n"/>
      <c r="AF13" s="6">
        <f>IF(E13="","",SUMIFS($AI$5:AI13,$E$5:E13,E13)-AI13)</f>
        <v/>
      </c>
      <c r="AG13" s="6">
        <f>IF(AE13="","",MAX(0,AE13-AF13))</f>
        <v/>
      </c>
      <c r="AH13" s="6">
        <f>IF(S13="","",IF(OR(I13=0,V13="IGEN",W13="IGEN"),0,IF(AND(K13&lt;&gt;"IGEN",L13="IGEN",U13="NEM"),0,S13)))</f>
        <v/>
      </c>
      <c r="AI13" s="6">
        <f>IF(AH13="","",IF(M13="IGEN",MIN(AH13,AG13),AH13))</f>
        <v/>
      </c>
      <c r="AJ13" s="5" t="n"/>
    </row>
    <row r="14">
      <c r="A14" s="5" t="n"/>
      <c r="B14" s="5" t="n"/>
      <c r="C14" s="5" t="n"/>
      <c r="D14" s="5">
        <f>IF(AND(B14&lt;&gt;"",C14&lt;&gt;""),C14-B14+1,"")</f>
        <v/>
      </c>
      <c r="E14" s="5">
        <f>IF(B14&lt;&gt;"",YEAR(B14),"")</f>
        <v/>
      </c>
      <c r="F14" s="6" t="n"/>
      <c r="G14" s="6" t="n"/>
      <c r="H14" s="6" t="n"/>
      <c r="I14" s="5">
        <f>IF(H14="","",IFERROR(INDEX(Szabályok!$B$13:$B$200,MATCH(H14,Szabályok!$A$13:$A$200,0)),""))</f>
        <v/>
      </c>
      <c r="J14" s="5">
        <f>IF(H14="","",IFERROR(INDEX(Szabályok!$C$13:$C$200,MATCH(H14,Szabályok!$A$13:$A$200,0)),""))</f>
        <v/>
      </c>
      <c r="K14" s="5">
        <f>IF(H14="","",IFERROR(INDEX(Szabályok!$D$13:$D$200,MATCH(H14,Szabályok!$A$13:$A$200,0)),""))</f>
        <v/>
      </c>
      <c r="L14" s="5">
        <f>IF(H14="","",IFERROR(INDEX(Szabályok!$E$13:$E$200,MATCH(H14,Szabályok!$A$13:$A$200,0)),""))</f>
        <v/>
      </c>
      <c r="M14" s="5">
        <f>IF(H14="","",IFERROR(INDEX(Szabályok!$F$13:$F$200,MATCH(H14,Szabályok!$A$13:$A$200,0)),""))</f>
        <v/>
      </c>
      <c r="N14" s="5">
        <f>IF(H14="","",IFERROR(INDEX(Szabályok!$G$13:$G$200,MATCH(H14,Szabályok!$A$13:$A$200,0)),""))</f>
        <v/>
      </c>
      <c r="O14" s="5">
        <f>IF(H14="","",IFERROR(INDEX(Szabályok!$H$13:$H$200,MATCH(H14,Szabályok!$A$13:$A$200,0)),""))</f>
        <v/>
      </c>
      <c r="P14" s="5" t="n"/>
      <c r="Q14" s="6" t="n"/>
      <c r="R14" s="6" t="n"/>
      <c r="S14" s="6">
        <f>IF(COUNT(Q14:R14)=0,"",SUM(Q14:R14))</f>
        <v/>
      </c>
      <c r="T14" s="6" t="n"/>
      <c r="U14" s="5">
        <f>IF(T14="","",IF(L14&lt;&gt;"IGEN","IGEN",IF(S14&gt;=T14,"IGEN","NEM")))</f>
        <v/>
      </c>
      <c r="V14" s="5" t="n"/>
      <c r="W14" s="5" t="n"/>
      <c r="X14" s="5" t="n"/>
      <c r="Y14" s="5" t="n"/>
      <c r="Z14" s="5">
        <f>IF(X14="","",IF(COUNTIFS($X$5:$X$304,X14,$I$5:$I$304,"&lt;"&amp;I14)=0,I14,""))</f>
        <v/>
      </c>
      <c r="AA14" s="5">
        <f>IF(X14="","",IF(COUNTIFS($X$5:$X$304,X14,$I$5:$I$304,"&lt;"&amp;I14)&gt;0,"NEM",IF(COUNTIFS($X$5:$X$304,X14,$I$5:$I$304,I14)=1,"IGEN",IF(Y14=1,"IGEN","NEM"))))</f>
        <v/>
      </c>
      <c r="AB14" s="5">
        <f>IF(OR(I14="",J14=""),"",IF(OR(I14=0,V14="IGEN",W14="IGEN"),"X",IF(AND(K14&lt;&gt;"IGEN",L14="IGEN",U14="NEM"),"X",IF(AA14="IGEN",J14,"X"))))</f>
        <v/>
      </c>
      <c r="AC14" s="5">
        <f>IF(AB14="X",0,IF(D14="","",D14))</f>
        <v/>
      </c>
      <c r="AD14" s="5">
        <f>IF(AB14="X",IF(D14="","",D14),0)</f>
        <v/>
      </c>
      <c r="AE14" s="6" t="n"/>
      <c r="AF14" s="6">
        <f>IF(E14="","",SUMIFS($AI$5:AI14,$E$5:E14,E14)-AI14)</f>
        <v/>
      </c>
      <c r="AG14" s="6">
        <f>IF(AE14="","",MAX(0,AE14-AF14))</f>
        <v/>
      </c>
      <c r="AH14" s="6">
        <f>IF(S14="","",IF(OR(I14=0,V14="IGEN",W14="IGEN"),0,IF(AND(K14&lt;&gt;"IGEN",L14="IGEN",U14="NEM"),0,S14)))</f>
        <v/>
      </c>
      <c r="AI14" s="6">
        <f>IF(AH14="","",IF(M14="IGEN",MIN(AH14,AG14),AH14))</f>
        <v/>
      </c>
      <c r="AJ14" s="5" t="n"/>
    </row>
    <row r="15">
      <c r="A15" s="5" t="n"/>
      <c r="B15" s="5" t="n"/>
      <c r="C15" s="5" t="n"/>
      <c r="D15" s="5">
        <f>IF(AND(B15&lt;&gt;"",C15&lt;&gt;""),C15-B15+1,"")</f>
        <v/>
      </c>
      <c r="E15" s="5">
        <f>IF(B15&lt;&gt;"",YEAR(B15),"")</f>
        <v/>
      </c>
      <c r="F15" s="6" t="n"/>
      <c r="G15" s="6" t="n"/>
      <c r="H15" s="6" t="n"/>
      <c r="I15" s="5">
        <f>IF(H15="","",IFERROR(INDEX(Szabályok!$B$13:$B$200,MATCH(H15,Szabályok!$A$13:$A$200,0)),""))</f>
        <v/>
      </c>
      <c r="J15" s="5">
        <f>IF(H15="","",IFERROR(INDEX(Szabályok!$C$13:$C$200,MATCH(H15,Szabályok!$A$13:$A$200,0)),""))</f>
        <v/>
      </c>
      <c r="K15" s="5">
        <f>IF(H15="","",IFERROR(INDEX(Szabályok!$D$13:$D$200,MATCH(H15,Szabályok!$A$13:$A$200,0)),""))</f>
        <v/>
      </c>
      <c r="L15" s="5">
        <f>IF(H15="","",IFERROR(INDEX(Szabályok!$E$13:$E$200,MATCH(H15,Szabályok!$A$13:$A$200,0)),""))</f>
        <v/>
      </c>
      <c r="M15" s="5">
        <f>IF(H15="","",IFERROR(INDEX(Szabályok!$F$13:$F$200,MATCH(H15,Szabályok!$A$13:$A$200,0)),""))</f>
        <v/>
      </c>
      <c r="N15" s="5">
        <f>IF(H15="","",IFERROR(INDEX(Szabályok!$G$13:$G$200,MATCH(H15,Szabályok!$A$13:$A$200,0)),""))</f>
        <v/>
      </c>
      <c r="O15" s="5">
        <f>IF(H15="","",IFERROR(INDEX(Szabályok!$H$13:$H$200,MATCH(H15,Szabályok!$A$13:$A$200,0)),""))</f>
        <v/>
      </c>
      <c r="P15" s="5" t="n"/>
      <c r="Q15" s="6" t="n"/>
      <c r="R15" s="6" t="n"/>
      <c r="S15" s="6">
        <f>IF(COUNT(Q15:R15)=0,"",SUM(Q15:R15))</f>
        <v/>
      </c>
      <c r="T15" s="6" t="n"/>
      <c r="U15" s="5">
        <f>IF(T15="","",IF(L15&lt;&gt;"IGEN","IGEN",IF(S15&gt;=T15,"IGEN","NEM")))</f>
        <v/>
      </c>
      <c r="V15" s="5" t="n"/>
      <c r="W15" s="5" t="n"/>
      <c r="X15" s="5" t="n"/>
      <c r="Y15" s="5" t="n"/>
      <c r="Z15" s="5">
        <f>IF(X15="","",IF(COUNTIFS($X$5:$X$304,X15,$I$5:$I$304,"&lt;"&amp;I15)=0,I15,""))</f>
        <v/>
      </c>
      <c r="AA15" s="5">
        <f>IF(X15="","",IF(COUNTIFS($X$5:$X$304,X15,$I$5:$I$304,"&lt;"&amp;I15)&gt;0,"NEM",IF(COUNTIFS($X$5:$X$304,X15,$I$5:$I$304,I15)=1,"IGEN",IF(Y15=1,"IGEN","NEM"))))</f>
        <v/>
      </c>
      <c r="AB15" s="5">
        <f>IF(OR(I15="",J15=""),"",IF(OR(I15=0,V15="IGEN",W15="IGEN"),"X",IF(AND(K15&lt;&gt;"IGEN",L15="IGEN",U15="NEM"),"X",IF(AA15="IGEN",J15,"X"))))</f>
        <v/>
      </c>
      <c r="AC15" s="5">
        <f>IF(AB15="X",0,IF(D15="","",D15))</f>
        <v/>
      </c>
      <c r="AD15" s="5">
        <f>IF(AB15="X",IF(D15="","",D15),0)</f>
        <v/>
      </c>
      <c r="AE15" s="6" t="n"/>
      <c r="AF15" s="6">
        <f>IF(E15="","",SUMIFS($AI$5:AI15,$E$5:E15,E15)-AI15)</f>
        <v/>
      </c>
      <c r="AG15" s="6">
        <f>IF(AE15="","",MAX(0,AE15-AF15))</f>
        <v/>
      </c>
      <c r="AH15" s="6">
        <f>IF(S15="","",IF(OR(I15=0,V15="IGEN",W15="IGEN"),0,IF(AND(K15&lt;&gt;"IGEN",L15="IGEN",U15="NEM"),0,S15)))</f>
        <v/>
      </c>
      <c r="AI15" s="6">
        <f>IF(AH15="","",IF(M15="IGEN",MIN(AH15,AG15),AH15))</f>
        <v/>
      </c>
      <c r="AJ15" s="5" t="n"/>
    </row>
    <row r="16">
      <c r="A16" s="5" t="n"/>
      <c r="B16" s="5" t="n"/>
      <c r="C16" s="5" t="n"/>
      <c r="D16" s="5">
        <f>IF(AND(B16&lt;&gt;"",C16&lt;&gt;""),C16-B16+1,"")</f>
        <v/>
      </c>
      <c r="E16" s="5">
        <f>IF(B16&lt;&gt;"",YEAR(B16),"")</f>
        <v/>
      </c>
      <c r="F16" s="6" t="n"/>
      <c r="G16" s="6" t="n"/>
      <c r="H16" s="6" t="n"/>
      <c r="I16" s="5">
        <f>IF(H16="","",IFERROR(INDEX(Szabályok!$B$13:$B$200,MATCH(H16,Szabályok!$A$13:$A$200,0)),""))</f>
        <v/>
      </c>
      <c r="J16" s="5">
        <f>IF(H16="","",IFERROR(INDEX(Szabályok!$C$13:$C$200,MATCH(H16,Szabályok!$A$13:$A$200,0)),""))</f>
        <v/>
      </c>
      <c r="K16" s="5">
        <f>IF(H16="","",IFERROR(INDEX(Szabályok!$D$13:$D$200,MATCH(H16,Szabályok!$A$13:$A$200,0)),""))</f>
        <v/>
      </c>
      <c r="L16" s="5">
        <f>IF(H16="","",IFERROR(INDEX(Szabályok!$E$13:$E$200,MATCH(H16,Szabályok!$A$13:$A$200,0)),""))</f>
        <v/>
      </c>
      <c r="M16" s="5">
        <f>IF(H16="","",IFERROR(INDEX(Szabályok!$F$13:$F$200,MATCH(H16,Szabályok!$A$13:$A$200,0)),""))</f>
        <v/>
      </c>
      <c r="N16" s="5">
        <f>IF(H16="","",IFERROR(INDEX(Szabályok!$G$13:$G$200,MATCH(H16,Szabályok!$A$13:$A$200,0)),""))</f>
        <v/>
      </c>
      <c r="O16" s="5">
        <f>IF(H16="","",IFERROR(INDEX(Szabályok!$H$13:$H$200,MATCH(H16,Szabályok!$A$13:$A$200,0)),""))</f>
        <v/>
      </c>
      <c r="P16" s="5" t="n"/>
      <c r="Q16" s="6" t="n"/>
      <c r="R16" s="6" t="n"/>
      <c r="S16" s="6">
        <f>IF(COUNT(Q16:R16)=0,"",SUM(Q16:R16))</f>
        <v/>
      </c>
      <c r="T16" s="6" t="n"/>
      <c r="U16" s="5">
        <f>IF(T16="","",IF(L16&lt;&gt;"IGEN","IGEN",IF(S16&gt;=T16,"IGEN","NEM")))</f>
        <v/>
      </c>
      <c r="V16" s="5" t="n"/>
      <c r="W16" s="5" t="n"/>
      <c r="X16" s="5" t="n"/>
      <c r="Y16" s="5" t="n"/>
      <c r="Z16" s="5">
        <f>IF(X16="","",IF(COUNTIFS($X$5:$X$304,X16,$I$5:$I$304,"&lt;"&amp;I16)=0,I16,""))</f>
        <v/>
      </c>
      <c r="AA16" s="5">
        <f>IF(X16="","",IF(COUNTIFS($X$5:$X$304,X16,$I$5:$I$304,"&lt;"&amp;I16)&gt;0,"NEM",IF(COUNTIFS($X$5:$X$304,X16,$I$5:$I$304,I16)=1,"IGEN",IF(Y16=1,"IGEN","NEM"))))</f>
        <v/>
      </c>
      <c r="AB16" s="5">
        <f>IF(OR(I16="",J16=""),"",IF(OR(I16=0,V16="IGEN",W16="IGEN"),"X",IF(AND(K16&lt;&gt;"IGEN",L16="IGEN",U16="NEM"),"X",IF(AA16="IGEN",J16,"X"))))</f>
        <v/>
      </c>
      <c r="AC16" s="5">
        <f>IF(AB16="X",0,IF(D16="","",D16))</f>
        <v/>
      </c>
      <c r="AD16" s="5">
        <f>IF(AB16="X",IF(D16="","",D16),0)</f>
        <v/>
      </c>
      <c r="AE16" s="6" t="n"/>
      <c r="AF16" s="6">
        <f>IF(E16="","",SUMIFS($AI$5:AI16,$E$5:E16,E16)-AI16)</f>
        <v/>
      </c>
      <c r="AG16" s="6">
        <f>IF(AE16="","",MAX(0,AE16-AF16))</f>
        <v/>
      </c>
      <c r="AH16" s="6">
        <f>IF(S16="","",IF(OR(I16=0,V16="IGEN",W16="IGEN"),0,IF(AND(K16&lt;&gt;"IGEN",L16="IGEN",U16="NEM"),0,S16)))</f>
        <v/>
      </c>
      <c r="AI16" s="6">
        <f>IF(AH16="","",IF(M16="IGEN",MIN(AH16,AG16),AH16))</f>
        <v/>
      </c>
      <c r="AJ16" s="5" t="n"/>
    </row>
    <row r="17">
      <c r="A17" s="5" t="n"/>
      <c r="B17" s="5" t="n"/>
      <c r="C17" s="5" t="n"/>
      <c r="D17" s="5">
        <f>IF(AND(B17&lt;&gt;"",C17&lt;&gt;""),C17-B17+1,"")</f>
        <v/>
      </c>
      <c r="E17" s="5">
        <f>IF(B17&lt;&gt;"",YEAR(B17),"")</f>
        <v/>
      </c>
      <c r="F17" s="6" t="n"/>
      <c r="G17" s="6" t="n"/>
      <c r="H17" s="6" t="n"/>
      <c r="I17" s="5">
        <f>IF(H17="","",IFERROR(INDEX(Szabályok!$B$13:$B$200,MATCH(H17,Szabályok!$A$13:$A$200,0)),""))</f>
        <v/>
      </c>
      <c r="J17" s="5">
        <f>IF(H17="","",IFERROR(INDEX(Szabályok!$C$13:$C$200,MATCH(H17,Szabályok!$A$13:$A$200,0)),""))</f>
        <v/>
      </c>
      <c r="K17" s="5">
        <f>IF(H17="","",IFERROR(INDEX(Szabályok!$D$13:$D$200,MATCH(H17,Szabályok!$A$13:$A$200,0)),""))</f>
        <v/>
      </c>
      <c r="L17" s="5">
        <f>IF(H17="","",IFERROR(INDEX(Szabályok!$E$13:$E$200,MATCH(H17,Szabályok!$A$13:$A$200,0)),""))</f>
        <v/>
      </c>
      <c r="M17" s="5">
        <f>IF(H17="","",IFERROR(INDEX(Szabályok!$F$13:$F$200,MATCH(H17,Szabályok!$A$13:$A$200,0)),""))</f>
        <v/>
      </c>
      <c r="N17" s="5">
        <f>IF(H17="","",IFERROR(INDEX(Szabályok!$G$13:$G$200,MATCH(H17,Szabályok!$A$13:$A$200,0)),""))</f>
        <v/>
      </c>
      <c r="O17" s="5">
        <f>IF(H17="","",IFERROR(INDEX(Szabályok!$H$13:$H$200,MATCH(H17,Szabályok!$A$13:$A$200,0)),""))</f>
        <v/>
      </c>
      <c r="P17" s="5" t="n"/>
      <c r="Q17" s="6" t="n"/>
      <c r="R17" s="6" t="n"/>
      <c r="S17" s="6">
        <f>IF(COUNT(Q17:R17)=0,"",SUM(Q17:R17))</f>
        <v/>
      </c>
      <c r="T17" s="6" t="n"/>
      <c r="U17" s="5">
        <f>IF(T17="","",IF(L17&lt;&gt;"IGEN","IGEN",IF(S17&gt;=T17,"IGEN","NEM")))</f>
        <v/>
      </c>
      <c r="V17" s="5" t="n"/>
      <c r="W17" s="5" t="n"/>
      <c r="X17" s="5" t="n"/>
      <c r="Y17" s="5" t="n"/>
      <c r="Z17" s="5">
        <f>IF(X17="","",IF(COUNTIFS($X$5:$X$304,X17,$I$5:$I$304,"&lt;"&amp;I17)=0,I17,""))</f>
        <v/>
      </c>
      <c r="AA17" s="5">
        <f>IF(X17="","",IF(COUNTIFS($X$5:$X$304,X17,$I$5:$I$304,"&lt;"&amp;I17)&gt;0,"NEM",IF(COUNTIFS($X$5:$X$304,X17,$I$5:$I$304,I17)=1,"IGEN",IF(Y17=1,"IGEN","NEM"))))</f>
        <v/>
      </c>
      <c r="AB17" s="5">
        <f>IF(OR(I17="",J17=""),"",IF(OR(I17=0,V17="IGEN",W17="IGEN"),"X",IF(AND(K17&lt;&gt;"IGEN",L17="IGEN",U17="NEM"),"X",IF(AA17="IGEN",J17,"X"))))</f>
        <v/>
      </c>
      <c r="AC17" s="5">
        <f>IF(AB17="X",0,IF(D17="","",D17))</f>
        <v/>
      </c>
      <c r="AD17" s="5">
        <f>IF(AB17="X",IF(D17="","",D17),0)</f>
        <v/>
      </c>
      <c r="AE17" s="6" t="n"/>
      <c r="AF17" s="6">
        <f>IF(E17="","",SUMIFS($AI$5:AI17,$E$5:E17,E17)-AI17)</f>
        <v/>
      </c>
      <c r="AG17" s="6">
        <f>IF(AE17="","",MAX(0,AE17-AF17))</f>
        <v/>
      </c>
      <c r="AH17" s="6">
        <f>IF(S17="","",IF(OR(I17=0,V17="IGEN",W17="IGEN"),0,IF(AND(K17&lt;&gt;"IGEN",L17="IGEN",U17="NEM"),0,S17)))</f>
        <v/>
      </c>
      <c r="AI17" s="6">
        <f>IF(AH17="","",IF(M17="IGEN",MIN(AH17,AG17),AH17))</f>
        <v/>
      </c>
      <c r="AJ17" s="5" t="n"/>
    </row>
    <row r="18">
      <c r="A18" s="5" t="n"/>
      <c r="B18" s="5" t="n"/>
      <c r="C18" s="5" t="n"/>
      <c r="D18" s="5">
        <f>IF(AND(B18&lt;&gt;"",C18&lt;&gt;""),C18-B18+1,"")</f>
        <v/>
      </c>
      <c r="E18" s="5">
        <f>IF(B18&lt;&gt;"",YEAR(B18),"")</f>
        <v/>
      </c>
      <c r="F18" s="6" t="n"/>
      <c r="G18" s="6" t="n"/>
      <c r="H18" s="6" t="n"/>
      <c r="I18" s="5">
        <f>IF(H18="","",IFERROR(INDEX(Szabályok!$B$13:$B$200,MATCH(H18,Szabályok!$A$13:$A$200,0)),""))</f>
        <v/>
      </c>
      <c r="J18" s="5">
        <f>IF(H18="","",IFERROR(INDEX(Szabályok!$C$13:$C$200,MATCH(H18,Szabályok!$A$13:$A$200,0)),""))</f>
        <v/>
      </c>
      <c r="K18" s="5">
        <f>IF(H18="","",IFERROR(INDEX(Szabályok!$D$13:$D$200,MATCH(H18,Szabályok!$A$13:$A$200,0)),""))</f>
        <v/>
      </c>
      <c r="L18" s="5">
        <f>IF(H18="","",IFERROR(INDEX(Szabályok!$E$13:$E$200,MATCH(H18,Szabályok!$A$13:$A$200,0)),""))</f>
        <v/>
      </c>
      <c r="M18" s="5">
        <f>IF(H18="","",IFERROR(INDEX(Szabályok!$F$13:$F$200,MATCH(H18,Szabályok!$A$13:$A$200,0)),""))</f>
        <v/>
      </c>
      <c r="N18" s="5">
        <f>IF(H18="","",IFERROR(INDEX(Szabályok!$G$13:$G$200,MATCH(H18,Szabályok!$A$13:$A$200,0)),""))</f>
        <v/>
      </c>
      <c r="O18" s="5">
        <f>IF(H18="","",IFERROR(INDEX(Szabályok!$H$13:$H$200,MATCH(H18,Szabályok!$A$13:$A$200,0)),""))</f>
        <v/>
      </c>
      <c r="P18" s="5" t="n"/>
      <c r="Q18" s="6" t="n"/>
      <c r="R18" s="6" t="n"/>
      <c r="S18" s="6">
        <f>IF(COUNT(Q18:R18)=0,"",SUM(Q18:R18))</f>
        <v/>
      </c>
      <c r="T18" s="6" t="n"/>
      <c r="U18" s="5">
        <f>IF(T18="","",IF(L18&lt;&gt;"IGEN","IGEN",IF(S18&gt;=T18,"IGEN","NEM")))</f>
        <v/>
      </c>
      <c r="V18" s="5" t="n"/>
      <c r="W18" s="5" t="n"/>
      <c r="X18" s="5" t="n"/>
      <c r="Y18" s="5" t="n"/>
      <c r="Z18" s="5">
        <f>IF(X18="","",IF(COUNTIFS($X$5:$X$304,X18,$I$5:$I$304,"&lt;"&amp;I18)=0,I18,""))</f>
        <v/>
      </c>
      <c r="AA18" s="5">
        <f>IF(X18="","",IF(COUNTIFS($X$5:$X$304,X18,$I$5:$I$304,"&lt;"&amp;I18)&gt;0,"NEM",IF(COUNTIFS($X$5:$X$304,X18,$I$5:$I$304,I18)=1,"IGEN",IF(Y18=1,"IGEN","NEM"))))</f>
        <v/>
      </c>
      <c r="AB18" s="5">
        <f>IF(OR(I18="",J18=""),"",IF(OR(I18=0,V18="IGEN",W18="IGEN"),"X",IF(AND(K18&lt;&gt;"IGEN",L18="IGEN",U18="NEM"),"X",IF(AA18="IGEN",J18,"X"))))</f>
        <v/>
      </c>
      <c r="AC18" s="5">
        <f>IF(AB18="X",0,IF(D18="","",D18))</f>
        <v/>
      </c>
      <c r="AD18" s="5">
        <f>IF(AB18="X",IF(D18="","",D18),0)</f>
        <v/>
      </c>
      <c r="AE18" s="6" t="n"/>
      <c r="AF18" s="6">
        <f>IF(E18="","",SUMIFS($AI$5:AI18,$E$5:E18,E18)-AI18)</f>
        <v/>
      </c>
      <c r="AG18" s="6">
        <f>IF(AE18="","",MAX(0,AE18-AF18))</f>
        <v/>
      </c>
      <c r="AH18" s="6">
        <f>IF(S18="","",IF(OR(I18=0,V18="IGEN",W18="IGEN"),0,IF(AND(K18&lt;&gt;"IGEN",L18="IGEN",U18="NEM"),0,S18)))</f>
        <v/>
      </c>
      <c r="AI18" s="6">
        <f>IF(AH18="","",IF(M18="IGEN",MIN(AH18,AG18),AH18))</f>
        <v/>
      </c>
      <c r="AJ18" s="5" t="n"/>
    </row>
    <row r="19">
      <c r="A19" s="5" t="n"/>
      <c r="B19" s="5" t="n"/>
      <c r="C19" s="5" t="n"/>
      <c r="D19" s="5">
        <f>IF(AND(B19&lt;&gt;"",C19&lt;&gt;""),C19-B19+1,"")</f>
        <v/>
      </c>
      <c r="E19" s="5">
        <f>IF(B19&lt;&gt;"",YEAR(B19),"")</f>
        <v/>
      </c>
      <c r="F19" s="6" t="n"/>
      <c r="G19" s="6" t="n"/>
      <c r="H19" s="6" t="n"/>
      <c r="I19" s="5">
        <f>IF(H19="","",IFERROR(INDEX(Szabályok!$B$13:$B$200,MATCH(H19,Szabályok!$A$13:$A$200,0)),""))</f>
        <v/>
      </c>
      <c r="J19" s="5">
        <f>IF(H19="","",IFERROR(INDEX(Szabályok!$C$13:$C$200,MATCH(H19,Szabályok!$A$13:$A$200,0)),""))</f>
        <v/>
      </c>
      <c r="K19" s="5">
        <f>IF(H19="","",IFERROR(INDEX(Szabályok!$D$13:$D$200,MATCH(H19,Szabályok!$A$13:$A$200,0)),""))</f>
        <v/>
      </c>
      <c r="L19" s="5">
        <f>IF(H19="","",IFERROR(INDEX(Szabályok!$E$13:$E$200,MATCH(H19,Szabályok!$A$13:$A$200,0)),""))</f>
        <v/>
      </c>
      <c r="M19" s="5">
        <f>IF(H19="","",IFERROR(INDEX(Szabályok!$F$13:$F$200,MATCH(H19,Szabályok!$A$13:$A$200,0)),""))</f>
        <v/>
      </c>
      <c r="N19" s="5">
        <f>IF(H19="","",IFERROR(INDEX(Szabályok!$G$13:$G$200,MATCH(H19,Szabályok!$A$13:$A$200,0)),""))</f>
        <v/>
      </c>
      <c r="O19" s="5">
        <f>IF(H19="","",IFERROR(INDEX(Szabályok!$H$13:$H$200,MATCH(H19,Szabályok!$A$13:$A$200,0)),""))</f>
        <v/>
      </c>
      <c r="P19" s="5" t="n"/>
      <c r="Q19" s="6" t="n"/>
      <c r="R19" s="6" t="n"/>
      <c r="S19" s="6">
        <f>IF(COUNT(Q19:R19)=0,"",SUM(Q19:R19))</f>
        <v/>
      </c>
      <c r="T19" s="6" t="n"/>
      <c r="U19" s="5">
        <f>IF(T19="","",IF(L19&lt;&gt;"IGEN","IGEN",IF(S19&gt;=T19,"IGEN","NEM")))</f>
        <v/>
      </c>
      <c r="V19" s="5" t="n"/>
      <c r="W19" s="5" t="n"/>
      <c r="X19" s="5" t="n"/>
      <c r="Y19" s="5" t="n"/>
      <c r="Z19" s="5">
        <f>IF(X19="","",IF(COUNTIFS($X$5:$X$304,X19,$I$5:$I$304,"&lt;"&amp;I19)=0,I19,""))</f>
        <v/>
      </c>
      <c r="AA19" s="5">
        <f>IF(X19="","",IF(COUNTIFS($X$5:$X$304,X19,$I$5:$I$304,"&lt;"&amp;I19)&gt;0,"NEM",IF(COUNTIFS($X$5:$X$304,X19,$I$5:$I$304,I19)=1,"IGEN",IF(Y19=1,"IGEN","NEM"))))</f>
        <v/>
      </c>
      <c r="AB19" s="5">
        <f>IF(OR(I19="",J19=""),"",IF(OR(I19=0,V19="IGEN",W19="IGEN"),"X",IF(AND(K19&lt;&gt;"IGEN",L19="IGEN",U19="NEM"),"X",IF(AA19="IGEN",J19,"X"))))</f>
        <v/>
      </c>
      <c r="AC19" s="5">
        <f>IF(AB19="X",0,IF(D19="","",D19))</f>
        <v/>
      </c>
      <c r="AD19" s="5">
        <f>IF(AB19="X",IF(D19="","",D19),0)</f>
        <v/>
      </c>
      <c r="AE19" s="6" t="n"/>
      <c r="AF19" s="6">
        <f>IF(E19="","",SUMIFS($AI$5:AI19,$E$5:E19,E19)-AI19)</f>
        <v/>
      </c>
      <c r="AG19" s="6">
        <f>IF(AE19="","",MAX(0,AE19-AF19))</f>
        <v/>
      </c>
      <c r="AH19" s="6">
        <f>IF(S19="","",IF(OR(I19=0,V19="IGEN",W19="IGEN"),0,IF(AND(K19&lt;&gt;"IGEN",L19="IGEN",U19="NEM"),0,S19)))</f>
        <v/>
      </c>
      <c r="AI19" s="6">
        <f>IF(AH19="","",IF(M19="IGEN",MIN(AH19,AG19),AH19))</f>
        <v/>
      </c>
      <c r="AJ19" s="5" t="n"/>
    </row>
    <row r="20">
      <c r="A20" s="5" t="n"/>
      <c r="B20" s="5" t="n"/>
      <c r="C20" s="5" t="n"/>
      <c r="D20" s="5">
        <f>IF(AND(B20&lt;&gt;"",C20&lt;&gt;""),C20-B20+1,"")</f>
        <v/>
      </c>
      <c r="E20" s="5">
        <f>IF(B20&lt;&gt;"",YEAR(B20),"")</f>
        <v/>
      </c>
      <c r="F20" s="6" t="n"/>
      <c r="G20" s="6" t="n"/>
      <c r="H20" s="6" t="n"/>
      <c r="I20" s="5">
        <f>IF(H20="","",IFERROR(INDEX(Szabályok!$B$13:$B$200,MATCH(H20,Szabályok!$A$13:$A$200,0)),""))</f>
        <v/>
      </c>
      <c r="J20" s="5">
        <f>IF(H20="","",IFERROR(INDEX(Szabályok!$C$13:$C$200,MATCH(H20,Szabályok!$A$13:$A$200,0)),""))</f>
        <v/>
      </c>
      <c r="K20" s="5">
        <f>IF(H20="","",IFERROR(INDEX(Szabályok!$D$13:$D$200,MATCH(H20,Szabályok!$A$13:$A$200,0)),""))</f>
        <v/>
      </c>
      <c r="L20" s="5">
        <f>IF(H20="","",IFERROR(INDEX(Szabályok!$E$13:$E$200,MATCH(H20,Szabályok!$A$13:$A$200,0)),""))</f>
        <v/>
      </c>
      <c r="M20" s="5">
        <f>IF(H20="","",IFERROR(INDEX(Szabályok!$F$13:$F$200,MATCH(H20,Szabályok!$A$13:$A$200,0)),""))</f>
        <v/>
      </c>
      <c r="N20" s="5">
        <f>IF(H20="","",IFERROR(INDEX(Szabályok!$G$13:$G$200,MATCH(H20,Szabályok!$A$13:$A$200,0)),""))</f>
        <v/>
      </c>
      <c r="O20" s="5">
        <f>IF(H20="","",IFERROR(INDEX(Szabályok!$H$13:$H$200,MATCH(H20,Szabályok!$A$13:$A$200,0)),""))</f>
        <v/>
      </c>
      <c r="P20" s="5" t="n"/>
      <c r="Q20" s="6" t="n"/>
      <c r="R20" s="6" t="n"/>
      <c r="S20" s="6">
        <f>IF(COUNT(Q20:R20)=0,"",SUM(Q20:R20))</f>
        <v/>
      </c>
      <c r="T20" s="6" t="n"/>
      <c r="U20" s="5">
        <f>IF(T20="","",IF(L20&lt;&gt;"IGEN","IGEN",IF(S20&gt;=T20,"IGEN","NEM")))</f>
        <v/>
      </c>
      <c r="V20" s="5" t="n"/>
      <c r="W20" s="5" t="n"/>
      <c r="X20" s="5" t="n"/>
      <c r="Y20" s="5" t="n"/>
      <c r="Z20" s="5">
        <f>IF(X20="","",IF(COUNTIFS($X$5:$X$304,X20,$I$5:$I$304,"&lt;"&amp;I20)=0,I20,""))</f>
        <v/>
      </c>
      <c r="AA20" s="5">
        <f>IF(X20="","",IF(COUNTIFS($X$5:$X$304,X20,$I$5:$I$304,"&lt;"&amp;I20)&gt;0,"NEM",IF(COUNTIFS($X$5:$X$304,X20,$I$5:$I$304,I20)=1,"IGEN",IF(Y20=1,"IGEN","NEM"))))</f>
        <v/>
      </c>
      <c r="AB20" s="5">
        <f>IF(OR(I20="",J20=""),"",IF(OR(I20=0,V20="IGEN",W20="IGEN"),"X",IF(AND(K20&lt;&gt;"IGEN",L20="IGEN",U20="NEM"),"X",IF(AA20="IGEN",J20,"X"))))</f>
        <v/>
      </c>
      <c r="AC20" s="5">
        <f>IF(AB20="X",0,IF(D20="","",D20))</f>
        <v/>
      </c>
      <c r="AD20" s="5">
        <f>IF(AB20="X",IF(D20="","",D20),0)</f>
        <v/>
      </c>
      <c r="AE20" s="6" t="n"/>
      <c r="AF20" s="6">
        <f>IF(E20="","",SUMIFS($AI$5:AI20,$E$5:E20,E20)-AI20)</f>
        <v/>
      </c>
      <c r="AG20" s="6">
        <f>IF(AE20="","",MAX(0,AE20-AF20))</f>
        <v/>
      </c>
      <c r="AH20" s="6">
        <f>IF(S20="","",IF(OR(I20=0,V20="IGEN",W20="IGEN"),0,IF(AND(K20&lt;&gt;"IGEN",L20="IGEN",U20="NEM"),0,S20)))</f>
        <v/>
      </c>
      <c r="AI20" s="6">
        <f>IF(AH20="","",IF(M20="IGEN",MIN(AH20,AG20),AH20))</f>
        <v/>
      </c>
      <c r="AJ20" s="5" t="n"/>
    </row>
    <row r="21">
      <c r="A21" s="5" t="n"/>
      <c r="B21" s="5" t="n"/>
      <c r="C21" s="5" t="n"/>
      <c r="D21" s="5">
        <f>IF(AND(B21&lt;&gt;"",C21&lt;&gt;""),C21-B21+1,"")</f>
        <v/>
      </c>
      <c r="E21" s="5">
        <f>IF(B21&lt;&gt;"",YEAR(B21),"")</f>
        <v/>
      </c>
      <c r="F21" s="6" t="n"/>
      <c r="G21" s="6" t="n"/>
      <c r="H21" s="6" t="n"/>
      <c r="I21" s="5">
        <f>IF(H21="","",IFERROR(INDEX(Szabályok!$B$13:$B$200,MATCH(H21,Szabályok!$A$13:$A$200,0)),""))</f>
        <v/>
      </c>
      <c r="J21" s="5">
        <f>IF(H21="","",IFERROR(INDEX(Szabályok!$C$13:$C$200,MATCH(H21,Szabályok!$A$13:$A$200,0)),""))</f>
        <v/>
      </c>
      <c r="K21" s="5">
        <f>IF(H21="","",IFERROR(INDEX(Szabályok!$D$13:$D$200,MATCH(H21,Szabályok!$A$13:$A$200,0)),""))</f>
        <v/>
      </c>
      <c r="L21" s="5">
        <f>IF(H21="","",IFERROR(INDEX(Szabályok!$E$13:$E$200,MATCH(H21,Szabályok!$A$13:$A$200,0)),""))</f>
        <v/>
      </c>
      <c r="M21" s="5">
        <f>IF(H21="","",IFERROR(INDEX(Szabályok!$F$13:$F$200,MATCH(H21,Szabályok!$A$13:$A$200,0)),""))</f>
        <v/>
      </c>
      <c r="N21" s="5">
        <f>IF(H21="","",IFERROR(INDEX(Szabályok!$G$13:$G$200,MATCH(H21,Szabályok!$A$13:$A$200,0)),""))</f>
        <v/>
      </c>
      <c r="O21" s="5">
        <f>IF(H21="","",IFERROR(INDEX(Szabályok!$H$13:$H$200,MATCH(H21,Szabályok!$A$13:$A$200,0)),""))</f>
        <v/>
      </c>
      <c r="P21" s="5" t="n"/>
      <c r="Q21" s="6" t="n"/>
      <c r="R21" s="6" t="n"/>
      <c r="S21" s="6">
        <f>IF(COUNT(Q21:R21)=0,"",SUM(Q21:R21))</f>
        <v/>
      </c>
      <c r="T21" s="6" t="n"/>
      <c r="U21" s="5">
        <f>IF(T21="","",IF(L21&lt;&gt;"IGEN","IGEN",IF(S21&gt;=T21,"IGEN","NEM")))</f>
        <v/>
      </c>
      <c r="V21" s="5" t="n"/>
      <c r="W21" s="5" t="n"/>
      <c r="X21" s="5" t="n"/>
      <c r="Y21" s="5" t="n"/>
      <c r="Z21" s="5">
        <f>IF(X21="","",IF(COUNTIFS($X$5:$X$304,X21,$I$5:$I$304,"&lt;"&amp;I21)=0,I21,""))</f>
        <v/>
      </c>
      <c r="AA21" s="5">
        <f>IF(X21="","",IF(COUNTIFS($X$5:$X$304,X21,$I$5:$I$304,"&lt;"&amp;I21)&gt;0,"NEM",IF(COUNTIFS($X$5:$X$304,X21,$I$5:$I$304,I21)=1,"IGEN",IF(Y21=1,"IGEN","NEM"))))</f>
        <v/>
      </c>
      <c r="AB21" s="5">
        <f>IF(OR(I21="",J21=""),"",IF(OR(I21=0,V21="IGEN",W21="IGEN"),"X",IF(AND(K21&lt;&gt;"IGEN",L21="IGEN",U21="NEM"),"X",IF(AA21="IGEN",J21,"X"))))</f>
        <v/>
      </c>
      <c r="AC21" s="5">
        <f>IF(AB21="X",0,IF(D21="","",D21))</f>
        <v/>
      </c>
      <c r="AD21" s="5">
        <f>IF(AB21="X",IF(D21="","",D21),0)</f>
        <v/>
      </c>
      <c r="AE21" s="6" t="n"/>
      <c r="AF21" s="6">
        <f>IF(E21="","",SUMIFS($AI$5:AI21,$E$5:E21,E21)-AI21)</f>
        <v/>
      </c>
      <c r="AG21" s="6">
        <f>IF(AE21="","",MAX(0,AE21-AF21))</f>
        <v/>
      </c>
      <c r="AH21" s="6">
        <f>IF(S21="","",IF(OR(I21=0,V21="IGEN",W21="IGEN"),0,IF(AND(K21&lt;&gt;"IGEN",L21="IGEN",U21="NEM"),0,S21)))</f>
        <v/>
      </c>
      <c r="AI21" s="6">
        <f>IF(AH21="","",IF(M21="IGEN",MIN(AH21,AG21),AH21))</f>
        <v/>
      </c>
      <c r="AJ21" s="5" t="n"/>
    </row>
    <row r="22">
      <c r="A22" s="5" t="n"/>
      <c r="B22" s="5" t="n"/>
      <c r="C22" s="5" t="n"/>
      <c r="D22" s="5">
        <f>IF(AND(B22&lt;&gt;"",C22&lt;&gt;""),C22-B22+1,"")</f>
        <v/>
      </c>
      <c r="E22" s="5">
        <f>IF(B22&lt;&gt;"",YEAR(B22),"")</f>
        <v/>
      </c>
      <c r="F22" s="6" t="n"/>
      <c r="G22" s="6" t="n"/>
      <c r="H22" s="6" t="n"/>
      <c r="I22" s="5">
        <f>IF(H22="","",IFERROR(INDEX(Szabályok!$B$13:$B$200,MATCH(H22,Szabályok!$A$13:$A$200,0)),""))</f>
        <v/>
      </c>
      <c r="J22" s="5">
        <f>IF(H22="","",IFERROR(INDEX(Szabályok!$C$13:$C$200,MATCH(H22,Szabályok!$A$13:$A$200,0)),""))</f>
        <v/>
      </c>
      <c r="K22" s="5">
        <f>IF(H22="","",IFERROR(INDEX(Szabályok!$D$13:$D$200,MATCH(H22,Szabályok!$A$13:$A$200,0)),""))</f>
        <v/>
      </c>
      <c r="L22" s="5">
        <f>IF(H22="","",IFERROR(INDEX(Szabályok!$E$13:$E$200,MATCH(H22,Szabályok!$A$13:$A$200,0)),""))</f>
        <v/>
      </c>
      <c r="M22" s="5">
        <f>IF(H22="","",IFERROR(INDEX(Szabályok!$F$13:$F$200,MATCH(H22,Szabályok!$A$13:$A$200,0)),""))</f>
        <v/>
      </c>
      <c r="N22" s="5">
        <f>IF(H22="","",IFERROR(INDEX(Szabályok!$G$13:$G$200,MATCH(H22,Szabályok!$A$13:$A$200,0)),""))</f>
        <v/>
      </c>
      <c r="O22" s="5">
        <f>IF(H22="","",IFERROR(INDEX(Szabályok!$H$13:$H$200,MATCH(H22,Szabályok!$A$13:$A$200,0)),""))</f>
        <v/>
      </c>
      <c r="P22" s="5" t="n"/>
      <c r="Q22" s="6" t="n"/>
      <c r="R22" s="6" t="n"/>
      <c r="S22" s="6">
        <f>IF(COUNT(Q22:R22)=0,"",SUM(Q22:R22))</f>
        <v/>
      </c>
      <c r="T22" s="6" t="n"/>
      <c r="U22" s="5">
        <f>IF(T22="","",IF(L22&lt;&gt;"IGEN","IGEN",IF(S22&gt;=T22,"IGEN","NEM")))</f>
        <v/>
      </c>
      <c r="V22" s="5" t="n"/>
      <c r="W22" s="5" t="n"/>
      <c r="X22" s="5" t="n"/>
      <c r="Y22" s="5" t="n"/>
      <c r="Z22" s="5">
        <f>IF(X22="","",IF(COUNTIFS($X$5:$X$304,X22,$I$5:$I$304,"&lt;"&amp;I22)=0,I22,""))</f>
        <v/>
      </c>
      <c r="AA22" s="5">
        <f>IF(X22="","",IF(COUNTIFS($X$5:$X$304,X22,$I$5:$I$304,"&lt;"&amp;I22)&gt;0,"NEM",IF(COUNTIFS($X$5:$X$304,X22,$I$5:$I$304,I22)=1,"IGEN",IF(Y22=1,"IGEN","NEM"))))</f>
        <v/>
      </c>
      <c r="AB22" s="5">
        <f>IF(OR(I22="",J22=""),"",IF(OR(I22=0,V22="IGEN",W22="IGEN"),"X",IF(AND(K22&lt;&gt;"IGEN",L22="IGEN",U22="NEM"),"X",IF(AA22="IGEN",J22,"X"))))</f>
        <v/>
      </c>
      <c r="AC22" s="5">
        <f>IF(AB22="X",0,IF(D22="","",D22))</f>
        <v/>
      </c>
      <c r="AD22" s="5">
        <f>IF(AB22="X",IF(D22="","",D22),0)</f>
        <v/>
      </c>
      <c r="AE22" s="6" t="n"/>
      <c r="AF22" s="6">
        <f>IF(E22="","",SUMIFS($AI$5:AI22,$E$5:E22,E22)-AI22)</f>
        <v/>
      </c>
      <c r="AG22" s="6">
        <f>IF(AE22="","",MAX(0,AE22-AF22))</f>
        <v/>
      </c>
      <c r="AH22" s="6">
        <f>IF(S22="","",IF(OR(I22=0,V22="IGEN",W22="IGEN"),0,IF(AND(K22&lt;&gt;"IGEN",L22="IGEN",U22="NEM"),0,S22)))</f>
        <v/>
      </c>
      <c r="AI22" s="6">
        <f>IF(AH22="","",IF(M22="IGEN",MIN(AH22,AG22),AH22))</f>
        <v/>
      </c>
      <c r="AJ22" s="5" t="n"/>
    </row>
    <row r="23">
      <c r="A23" s="5" t="n"/>
      <c r="B23" s="5" t="n"/>
      <c r="C23" s="5" t="n"/>
      <c r="D23" s="5">
        <f>IF(AND(B23&lt;&gt;"",C23&lt;&gt;""),C23-B23+1,"")</f>
        <v/>
      </c>
      <c r="E23" s="5">
        <f>IF(B23&lt;&gt;"",YEAR(B23),"")</f>
        <v/>
      </c>
      <c r="F23" s="6" t="n"/>
      <c r="G23" s="6" t="n"/>
      <c r="H23" s="6" t="n"/>
      <c r="I23" s="5">
        <f>IF(H23="","",IFERROR(INDEX(Szabályok!$B$13:$B$200,MATCH(H23,Szabályok!$A$13:$A$200,0)),""))</f>
        <v/>
      </c>
      <c r="J23" s="5">
        <f>IF(H23="","",IFERROR(INDEX(Szabályok!$C$13:$C$200,MATCH(H23,Szabályok!$A$13:$A$200,0)),""))</f>
        <v/>
      </c>
      <c r="K23" s="5">
        <f>IF(H23="","",IFERROR(INDEX(Szabályok!$D$13:$D$200,MATCH(H23,Szabályok!$A$13:$A$200,0)),""))</f>
        <v/>
      </c>
      <c r="L23" s="5">
        <f>IF(H23="","",IFERROR(INDEX(Szabályok!$E$13:$E$200,MATCH(H23,Szabályok!$A$13:$A$200,0)),""))</f>
        <v/>
      </c>
      <c r="M23" s="5">
        <f>IF(H23="","",IFERROR(INDEX(Szabályok!$F$13:$F$200,MATCH(H23,Szabályok!$A$13:$A$200,0)),""))</f>
        <v/>
      </c>
      <c r="N23" s="5">
        <f>IF(H23="","",IFERROR(INDEX(Szabályok!$G$13:$G$200,MATCH(H23,Szabályok!$A$13:$A$200,0)),""))</f>
        <v/>
      </c>
      <c r="O23" s="5">
        <f>IF(H23="","",IFERROR(INDEX(Szabályok!$H$13:$H$200,MATCH(H23,Szabályok!$A$13:$A$200,0)),""))</f>
        <v/>
      </c>
      <c r="P23" s="5" t="n"/>
      <c r="Q23" s="6" t="n"/>
      <c r="R23" s="6" t="n"/>
      <c r="S23" s="6">
        <f>IF(COUNT(Q23:R23)=0,"",SUM(Q23:R23))</f>
        <v/>
      </c>
      <c r="T23" s="6" t="n"/>
      <c r="U23" s="5">
        <f>IF(T23="","",IF(L23&lt;&gt;"IGEN","IGEN",IF(S23&gt;=T23,"IGEN","NEM")))</f>
        <v/>
      </c>
      <c r="V23" s="5" t="n"/>
      <c r="W23" s="5" t="n"/>
      <c r="X23" s="5" t="n"/>
      <c r="Y23" s="5" t="n"/>
      <c r="Z23" s="5">
        <f>IF(X23="","",IF(COUNTIFS($X$5:$X$304,X23,$I$5:$I$304,"&lt;"&amp;I23)=0,I23,""))</f>
        <v/>
      </c>
      <c r="AA23" s="5">
        <f>IF(X23="","",IF(COUNTIFS($X$5:$X$304,X23,$I$5:$I$304,"&lt;"&amp;I23)&gt;0,"NEM",IF(COUNTIFS($X$5:$X$304,X23,$I$5:$I$304,I23)=1,"IGEN",IF(Y23=1,"IGEN","NEM"))))</f>
        <v/>
      </c>
      <c r="AB23" s="5">
        <f>IF(OR(I23="",J23=""),"",IF(OR(I23=0,V23="IGEN",W23="IGEN"),"X",IF(AND(K23&lt;&gt;"IGEN",L23="IGEN",U23="NEM"),"X",IF(AA23="IGEN",J23,"X"))))</f>
        <v/>
      </c>
      <c r="AC23" s="5">
        <f>IF(AB23="X",0,IF(D23="","",D23))</f>
        <v/>
      </c>
      <c r="AD23" s="5">
        <f>IF(AB23="X",IF(D23="","",D23),0)</f>
        <v/>
      </c>
      <c r="AE23" s="6" t="n"/>
      <c r="AF23" s="6">
        <f>IF(E23="","",SUMIFS($AI$5:AI23,$E$5:E23,E23)-AI23)</f>
        <v/>
      </c>
      <c r="AG23" s="6">
        <f>IF(AE23="","",MAX(0,AE23-AF23))</f>
        <v/>
      </c>
      <c r="AH23" s="6">
        <f>IF(S23="","",IF(OR(I23=0,V23="IGEN",W23="IGEN"),0,IF(AND(K23&lt;&gt;"IGEN",L23="IGEN",U23="NEM"),0,S23)))</f>
        <v/>
      </c>
      <c r="AI23" s="6">
        <f>IF(AH23="","",IF(M23="IGEN",MIN(AH23,AG23),AH23))</f>
        <v/>
      </c>
      <c r="AJ23" s="5" t="n"/>
    </row>
    <row r="24">
      <c r="A24" s="5" t="n"/>
      <c r="B24" s="5" t="n"/>
      <c r="C24" s="5" t="n"/>
      <c r="D24" s="5">
        <f>IF(AND(B24&lt;&gt;"",C24&lt;&gt;""),C24-B24+1,"")</f>
        <v/>
      </c>
      <c r="E24" s="5">
        <f>IF(B24&lt;&gt;"",YEAR(B24),"")</f>
        <v/>
      </c>
      <c r="F24" s="6" t="n"/>
      <c r="G24" s="6" t="n"/>
      <c r="H24" s="6" t="n"/>
      <c r="I24" s="5">
        <f>IF(H24="","",IFERROR(INDEX(Szabályok!$B$13:$B$200,MATCH(H24,Szabályok!$A$13:$A$200,0)),""))</f>
        <v/>
      </c>
      <c r="J24" s="5">
        <f>IF(H24="","",IFERROR(INDEX(Szabályok!$C$13:$C$200,MATCH(H24,Szabályok!$A$13:$A$200,0)),""))</f>
        <v/>
      </c>
      <c r="K24" s="5">
        <f>IF(H24="","",IFERROR(INDEX(Szabályok!$D$13:$D$200,MATCH(H24,Szabályok!$A$13:$A$200,0)),""))</f>
        <v/>
      </c>
      <c r="L24" s="5">
        <f>IF(H24="","",IFERROR(INDEX(Szabályok!$E$13:$E$200,MATCH(H24,Szabályok!$A$13:$A$200,0)),""))</f>
        <v/>
      </c>
      <c r="M24" s="5">
        <f>IF(H24="","",IFERROR(INDEX(Szabályok!$F$13:$F$200,MATCH(H24,Szabályok!$A$13:$A$200,0)),""))</f>
        <v/>
      </c>
      <c r="N24" s="5">
        <f>IF(H24="","",IFERROR(INDEX(Szabályok!$G$13:$G$200,MATCH(H24,Szabályok!$A$13:$A$200,0)),""))</f>
        <v/>
      </c>
      <c r="O24" s="5">
        <f>IF(H24="","",IFERROR(INDEX(Szabályok!$H$13:$H$200,MATCH(H24,Szabályok!$A$13:$A$200,0)),""))</f>
        <v/>
      </c>
      <c r="P24" s="5" t="n"/>
      <c r="Q24" s="6" t="n"/>
      <c r="R24" s="6" t="n"/>
      <c r="S24" s="6">
        <f>IF(COUNT(Q24:R24)=0,"",SUM(Q24:R24))</f>
        <v/>
      </c>
      <c r="T24" s="6" t="n"/>
      <c r="U24" s="5">
        <f>IF(T24="","",IF(L24&lt;&gt;"IGEN","IGEN",IF(S24&gt;=T24,"IGEN","NEM")))</f>
        <v/>
      </c>
      <c r="V24" s="5" t="n"/>
      <c r="W24" s="5" t="n"/>
      <c r="X24" s="5" t="n"/>
      <c r="Y24" s="5" t="n"/>
      <c r="Z24" s="5">
        <f>IF(X24="","",IF(COUNTIFS($X$5:$X$304,X24,$I$5:$I$304,"&lt;"&amp;I24)=0,I24,""))</f>
        <v/>
      </c>
      <c r="AA24" s="5">
        <f>IF(X24="","",IF(COUNTIFS($X$5:$X$304,X24,$I$5:$I$304,"&lt;"&amp;I24)&gt;0,"NEM",IF(COUNTIFS($X$5:$X$304,X24,$I$5:$I$304,I24)=1,"IGEN",IF(Y24=1,"IGEN","NEM"))))</f>
        <v/>
      </c>
      <c r="AB24" s="5">
        <f>IF(OR(I24="",J24=""),"",IF(OR(I24=0,V24="IGEN",W24="IGEN"),"X",IF(AND(K24&lt;&gt;"IGEN",L24="IGEN",U24="NEM"),"X",IF(AA24="IGEN",J24,"X"))))</f>
        <v/>
      </c>
      <c r="AC24" s="5">
        <f>IF(AB24="X",0,IF(D24="","",D24))</f>
        <v/>
      </c>
      <c r="AD24" s="5">
        <f>IF(AB24="X",IF(D24="","",D24),0)</f>
        <v/>
      </c>
      <c r="AE24" s="6" t="n"/>
      <c r="AF24" s="6">
        <f>IF(E24="","",SUMIFS($AI$5:AI24,$E$5:E24,E24)-AI24)</f>
        <v/>
      </c>
      <c r="AG24" s="6">
        <f>IF(AE24="","",MAX(0,AE24-AF24))</f>
        <v/>
      </c>
      <c r="AH24" s="6">
        <f>IF(S24="","",IF(OR(I24=0,V24="IGEN",W24="IGEN"),0,IF(AND(K24&lt;&gt;"IGEN",L24="IGEN",U24="NEM"),0,S24)))</f>
        <v/>
      </c>
      <c r="AI24" s="6">
        <f>IF(AH24="","",IF(M24="IGEN",MIN(AH24,AG24),AH24))</f>
        <v/>
      </c>
      <c r="AJ24" s="5" t="n"/>
    </row>
    <row r="25">
      <c r="A25" s="5" t="n"/>
      <c r="B25" s="5" t="n"/>
      <c r="C25" s="5" t="n"/>
      <c r="D25" s="5">
        <f>IF(AND(B25&lt;&gt;"",C25&lt;&gt;""),C25-B25+1,"")</f>
        <v/>
      </c>
      <c r="E25" s="5">
        <f>IF(B25&lt;&gt;"",YEAR(B25),"")</f>
        <v/>
      </c>
      <c r="F25" s="6" t="n"/>
      <c r="G25" s="6" t="n"/>
      <c r="H25" s="6" t="n"/>
      <c r="I25" s="5">
        <f>IF(H25="","",IFERROR(INDEX(Szabályok!$B$13:$B$200,MATCH(H25,Szabályok!$A$13:$A$200,0)),""))</f>
        <v/>
      </c>
      <c r="J25" s="5">
        <f>IF(H25="","",IFERROR(INDEX(Szabályok!$C$13:$C$200,MATCH(H25,Szabályok!$A$13:$A$200,0)),""))</f>
        <v/>
      </c>
      <c r="K25" s="5">
        <f>IF(H25="","",IFERROR(INDEX(Szabályok!$D$13:$D$200,MATCH(H25,Szabályok!$A$13:$A$200,0)),""))</f>
        <v/>
      </c>
      <c r="L25" s="5">
        <f>IF(H25="","",IFERROR(INDEX(Szabályok!$E$13:$E$200,MATCH(H25,Szabályok!$A$13:$A$200,0)),""))</f>
        <v/>
      </c>
      <c r="M25" s="5">
        <f>IF(H25="","",IFERROR(INDEX(Szabályok!$F$13:$F$200,MATCH(H25,Szabályok!$A$13:$A$200,0)),""))</f>
        <v/>
      </c>
      <c r="N25" s="5">
        <f>IF(H25="","",IFERROR(INDEX(Szabályok!$G$13:$G$200,MATCH(H25,Szabályok!$A$13:$A$200,0)),""))</f>
        <v/>
      </c>
      <c r="O25" s="5">
        <f>IF(H25="","",IFERROR(INDEX(Szabályok!$H$13:$H$200,MATCH(H25,Szabályok!$A$13:$A$200,0)),""))</f>
        <v/>
      </c>
      <c r="P25" s="5" t="n"/>
      <c r="Q25" s="6" t="n"/>
      <c r="R25" s="6" t="n"/>
      <c r="S25" s="6">
        <f>IF(COUNT(Q25:R25)=0,"",SUM(Q25:R25))</f>
        <v/>
      </c>
      <c r="T25" s="6" t="n"/>
      <c r="U25" s="5">
        <f>IF(T25="","",IF(L25&lt;&gt;"IGEN","IGEN",IF(S25&gt;=T25,"IGEN","NEM")))</f>
        <v/>
      </c>
      <c r="V25" s="5" t="n"/>
      <c r="W25" s="5" t="n"/>
      <c r="X25" s="5" t="n"/>
      <c r="Y25" s="5" t="n"/>
      <c r="Z25" s="5">
        <f>IF(X25="","",IF(COUNTIFS($X$5:$X$304,X25,$I$5:$I$304,"&lt;"&amp;I25)=0,I25,""))</f>
        <v/>
      </c>
      <c r="AA25" s="5">
        <f>IF(X25="","",IF(COUNTIFS($X$5:$X$304,X25,$I$5:$I$304,"&lt;"&amp;I25)&gt;0,"NEM",IF(COUNTIFS($X$5:$X$304,X25,$I$5:$I$304,I25)=1,"IGEN",IF(Y25=1,"IGEN","NEM"))))</f>
        <v/>
      </c>
      <c r="AB25" s="5">
        <f>IF(OR(I25="",J25=""),"",IF(OR(I25=0,V25="IGEN",W25="IGEN"),"X",IF(AND(K25&lt;&gt;"IGEN",L25="IGEN",U25="NEM"),"X",IF(AA25="IGEN",J25,"X"))))</f>
        <v/>
      </c>
      <c r="AC25" s="5">
        <f>IF(AB25="X",0,IF(D25="","",D25))</f>
        <v/>
      </c>
      <c r="AD25" s="5">
        <f>IF(AB25="X",IF(D25="","",D25),0)</f>
        <v/>
      </c>
      <c r="AE25" s="6" t="n"/>
      <c r="AF25" s="6">
        <f>IF(E25="","",SUMIFS($AI$5:AI25,$E$5:E25,E25)-AI25)</f>
        <v/>
      </c>
      <c r="AG25" s="6">
        <f>IF(AE25="","",MAX(0,AE25-AF25))</f>
        <v/>
      </c>
      <c r="AH25" s="6">
        <f>IF(S25="","",IF(OR(I25=0,V25="IGEN",W25="IGEN"),0,IF(AND(K25&lt;&gt;"IGEN",L25="IGEN",U25="NEM"),0,S25)))</f>
        <v/>
      </c>
      <c r="AI25" s="6">
        <f>IF(AH25="","",IF(M25="IGEN",MIN(AH25,AG25),AH25))</f>
        <v/>
      </c>
      <c r="AJ25" s="5" t="n"/>
    </row>
    <row r="26">
      <c r="A26" s="5" t="n"/>
      <c r="B26" s="5" t="n"/>
      <c r="C26" s="5" t="n"/>
      <c r="D26" s="5">
        <f>IF(AND(B26&lt;&gt;"",C26&lt;&gt;""),C26-B26+1,"")</f>
        <v/>
      </c>
      <c r="E26" s="5">
        <f>IF(B26&lt;&gt;"",YEAR(B26),"")</f>
        <v/>
      </c>
      <c r="F26" s="6" t="n"/>
      <c r="G26" s="6" t="n"/>
      <c r="H26" s="6" t="n"/>
      <c r="I26" s="5">
        <f>IF(H26="","",IFERROR(INDEX(Szabályok!$B$13:$B$200,MATCH(H26,Szabályok!$A$13:$A$200,0)),""))</f>
        <v/>
      </c>
      <c r="J26" s="5">
        <f>IF(H26="","",IFERROR(INDEX(Szabályok!$C$13:$C$200,MATCH(H26,Szabályok!$A$13:$A$200,0)),""))</f>
        <v/>
      </c>
      <c r="K26" s="5">
        <f>IF(H26="","",IFERROR(INDEX(Szabályok!$D$13:$D$200,MATCH(H26,Szabályok!$A$13:$A$200,0)),""))</f>
        <v/>
      </c>
      <c r="L26" s="5">
        <f>IF(H26="","",IFERROR(INDEX(Szabályok!$E$13:$E$200,MATCH(H26,Szabályok!$A$13:$A$200,0)),""))</f>
        <v/>
      </c>
      <c r="M26" s="5">
        <f>IF(H26="","",IFERROR(INDEX(Szabályok!$F$13:$F$200,MATCH(H26,Szabályok!$A$13:$A$200,0)),""))</f>
        <v/>
      </c>
      <c r="N26" s="5">
        <f>IF(H26="","",IFERROR(INDEX(Szabályok!$G$13:$G$200,MATCH(H26,Szabályok!$A$13:$A$200,0)),""))</f>
        <v/>
      </c>
      <c r="O26" s="5">
        <f>IF(H26="","",IFERROR(INDEX(Szabályok!$H$13:$H$200,MATCH(H26,Szabályok!$A$13:$A$200,0)),""))</f>
        <v/>
      </c>
      <c r="P26" s="5" t="n"/>
      <c r="Q26" s="6" t="n"/>
      <c r="R26" s="6" t="n"/>
      <c r="S26" s="6">
        <f>IF(COUNT(Q26:R26)=0,"",SUM(Q26:R26))</f>
        <v/>
      </c>
      <c r="T26" s="6" t="n"/>
      <c r="U26" s="5">
        <f>IF(T26="","",IF(L26&lt;&gt;"IGEN","IGEN",IF(S26&gt;=T26,"IGEN","NEM")))</f>
        <v/>
      </c>
      <c r="V26" s="5" t="n"/>
      <c r="W26" s="5" t="n"/>
      <c r="X26" s="5" t="n"/>
      <c r="Y26" s="5" t="n"/>
      <c r="Z26" s="5">
        <f>IF(X26="","",IF(COUNTIFS($X$5:$X$304,X26,$I$5:$I$304,"&lt;"&amp;I26)=0,I26,""))</f>
        <v/>
      </c>
      <c r="AA26" s="5">
        <f>IF(X26="","",IF(COUNTIFS($X$5:$X$304,X26,$I$5:$I$304,"&lt;"&amp;I26)&gt;0,"NEM",IF(COUNTIFS($X$5:$X$304,X26,$I$5:$I$304,I26)=1,"IGEN",IF(Y26=1,"IGEN","NEM"))))</f>
        <v/>
      </c>
      <c r="AB26" s="5">
        <f>IF(OR(I26="",J26=""),"",IF(OR(I26=0,V26="IGEN",W26="IGEN"),"X",IF(AND(K26&lt;&gt;"IGEN",L26="IGEN",U26="NEM"),"X",IF(AA26="IGEN",J26,"X"))))</f>
        <v/>
      </c>
      <c r="AC26" s="5">
        <f>IF(AB26="X",0,IF(D26="","",D26))</f>
        <v/>
      </c>
      <c r="AD26" s="5">
        <f>IF(AB26="X",IF(D26="","",D26),0)</f>
        <v/>
      </c>
      <c r="AE26" s="6" t="n"/>
      <c r="AF26" s="6">
        <f>IF(E26="","",SUMIFS($AI$5:AI26,$E$5:E26,E26)-AI26)</f>
        <v/>
      </c>
      <c r="AG26" s="6">
        <f>IF(AE26="","",MAX(0,AE26-AF26))</f>
        <v/>
      </c>
      <c r="AH26" s="6">
        <f>IF(S26="","",IF(OR(I26=0,V26="IGEN",W26="IGEN"),0,IF(AND(K26&lt;&gt;"IGEN",L26="IGEN",U26="NEM"),0,S26)))</f>
        <v/>
      </c>
      <c r="AI26" s="6">
        <f>IF(AH26="","",IF(M26="IGEN",MIN(AH26,AG26),AH26))</f>
        <v/>
      </c>
      <c r="AJ26" s="5" t="n"/>
    </row>
    <row r="27">
      <c r="A27" s="5" t="n"/>
      <c r="B27" s="5" t="n"/>
      <c r="C27" s="5" t="n"/>
      <c r="D27" s="5">
        <f>IF(AND(B27&lt;&gt;"",C27&lt;&gt;""),C27-B27+1,"")</f>
        <v/>
      </c>
      <c r="E27" s="5">
        <f>IF(B27&lt;&gt;"",YEAR(B27),"")</f>
        <v/>
      </c>
      <c r="F27" s="6" t="n"/>
      <c r="G27" s="6" t="n"/>
      <c r="H27" s="6" t="n"/>
      <c r="I27" s="5">
        <f>IF(H27="","",IFERROR(INDEX(Szabályok!$B$13:$B$200,MATCH(H27,Szabályok!$A$13:$A$200,0)),""))</f>
        <v/>
      </c>
      <c r="J27" s="5">
        <f>IF(H27="","",IFERROR(INDEX(Szabályok!$C$13:$C$200,MATCH(H27,Szabályok!$A$13:$A$200,0)),""))</f>
        <v/>
      </c>
      <c r="K27" s="5">
        <f>IF(H27="","",IFERROR(INDEX(Szabályok!$D$13:$D$200,MATCH(H27,Szabályok!$A$13:$A$200,0)),""))</f>
        <v/>
      </c>
      <c r="L27" s="5">
        <f>IF(H27="","",IFERROR(INDEX(Szabályok!$E$13:$E$200,MATCH(H27,Szabályok!$A$13:$A$200,0)),""))</f>
        <v/>
      </c>
      <c r="M27" s="5">
        <f>IF(H27="","",IFERROR(INDEX(Szabályok!$F$13:$F$200,MATCH(H27,Szabályok!$A$13:$A$200,0)),""))</f>
        <v/>
      </c>
      <c r="N27" s="5">
        <f>IF(H27="","",IFERROR(INDEX(Szabályok!$G$13:$G$200,MATCH(H27,Szabályok!$A$13:$A$200,0)),""))</f>
        <v/>
      </c>
      <c r="O27" s="5">
        <f>IF(H27="","",IFERROR(INDEX(Szabályok!$H$13:$H$200,MATCH(H27,Szabályok!$A$13:$A$200,0)),""))</f>
        <v/>
      </c>
      <c r="P27" s="5" t="n"/>
      <c r="Q27" s="6" t="n"/>
      <c r="R27" s="6" t="n"/>
      <c r="S27" s="6">
        <f>IF(COUNT(Q27:R27)=0,"",SUM(Q27:R27))</f>
        <v/>
      </c>
      <c r="T27" s="6" t="n"/>
      <c r="U27" s="5">
        <f>IF(T27="","",IF(L27&lt;&gt;"IGEN","IGEN",IF(S27&gt;=T27,"IGEN","NEM")))</f>
        <v/>
      </c>
      <c r="V27" s="5" t="n"/>
      <c r="W27" s="5" t="n"/>
      <c r="X27" s="5" t="n"/>
      <c r="Y27" s="5" t="n"/>
      <c r="Z27" s="5">
        <f>IF(X27="","",IF(COUNTIFS($X$5:$X$304,X27,$I$5:$I$304,"&lt;"&amp;I27)=0,I27,""))</f>
        <v/>
      </c>
      <c r="AA27" s="5">
        <f>IF(X27="","",IF(COUNTIFS($X$5:$X$304,X27,$I$5:$I$304,"&lt;"&amp;I27)&gt;0,"NEM",IF(COUNTIFS($X$5:$X$304,X27,$I$5:$I$304,I27)=1,"IGEN",IF(Y27=1,"IGEN","NEM"))))</f>
        <v/>
      </c>
      <c r="AB27" s="5">
        <f>IF(OR(I27="",J27=""),"",IF(OR(I27=0,V27="IGEN",W27="IGEN"),"X",IF(AND(K27&lt;&gt;"IGEN",L27="IGEN",U27="NEM"),"X",IF(AA27="IGEN",J27,"X"))))</f>
        <v/>
      </c>
      <c r="AC27" s="5">
        <f>IF(AB27="X",0,IF(D27="","",D27))</f>
        <v/>
      </c>
      <c r="AD27" s="5">
        <f>IF(AB27="X",IF(D27="","",D27),0)</f>
        <v/>
      </c>
      <c r="AE27" s="6" t="n"/>
      <c r="AF27" s="6">
        <f>IF(E27="","",SUMIFS($AI$5:AI27,$E$5:E27,E27)-AI27)</f>
        <v/>
      </c>
      <c r="AG27" s="6">
        <f>IF(AE27="","",MAX(0,AE27-AF27))</f>
        <v/>
      </c>
      <c r="AH27" s="6">
        <f>IF(S27="","",IF(OR(I27=0,V27="IGEN",W27="IGEN"),0,IF(AND(K27&lt;&gt;"IGEN",L27="IGEN",U27="NEM"),0,S27)))</f>
        <v/>
      </c>
      <c r="AI27" s="6">
        <f>IF(AH27="","",IF(M27="IGEN",MIN(AH27,AG27),AH27))</f>
        <v/>
      </c>
      <c r="AJ27" s="5" t="n"/>
    </row>
    <row r="28">
      <c r="A28" s="5" t="n"/>
      <c r="B28" s="5" t="n"/>
      <c r="C28" s="5" t="n"/>
      <c r="D28" s="5">
        <f>IF(AND(B28&lt;&gt;"",C28&lt;&gt;""),C28-B28+1,"")</f>
        <v/>
      </c>
      <c r="E28" s="5">
        <f>IF(B28&lt;&gt;"",YEAR(B28),"")</f>
        <v/>
      </c>
      <c r="F28" s="6" t="n"/>
      <c r="G28" s="6" t="n"/>
      <c r="H28" s="6" t="n"/>
      <c r="I28" s="5">
        <f>IF(H28="","",IFERROR(INDEX(Szabályok!$B$13:$B$200,MATCH(H28,Szabályok!$A$13:$A$200,0)),""))</f>
        <v/>
      </c>
      <c r="J28" s="5">
        <f>IF(H28="","",IFERROR(INDEX(Szabályok!$C$13:$C$200,MATCH(H28,Szabályok!$A$13:$A$200,0)),""))</f>
        <v/>
      </c>
      <c r="K28" s="5">
        <f>IF(H28="","",IFERROR(INDEX(Szabályok!$D$13:$D$200,MATCH(H28,Szabályok!$A$13:$A$200,0)),""))</f>
        <v/>
      </c>
      <c r="L28" s="5">
        <f>IF(H28="","",IFERROR(INDEX(Szabályok!$E$13:$E$200,MATCH(H28,Szabályok!$A$13:$A$200,0)),""))</f>
        <v/>
      </c>
      <c r="M28" s="5">
        <f>IF(H28="","",IFERROR(INDEX(Szabályok!$F$13:$F$200,MATCH(H28,Szabályok!$A$13:$A$200,0)),""))</f>
        <v/>
      </c>
      <c r="N28" s="5">
        <f>IF(H28="","",IFERROR(INDEX(Szabályok!$G$13:$G$200,MATCH(H28,Szabályok!$A$13:$A$200,0)),""))</f>
        <v/>
      </c>
      <c r="O28" s="5">
        <f>IF(H28="","",IFERROR(INDEX(Szabályok!$H$13:$H$200,MATCH(H28,Szabályok!$A$13:$A$200,0)),""))</f>
        <v/>
      </c>
      <c r="P28" s="5" t="n"/>
      <c r="Q28" s="6" t="n"/>
      <c r="R28" s="6" t="n"/>
      <c r="S28" s="6">
        <f>IF(COUNT(Q28:R28)=0,"",SUM(Q28:R28))</f>
        <v/>
      </c>
      <c r="T28" s="6" t="n"/>
      <c r="U28" s="5">
        <f>IF(T28="","",IF(L28&lt;&gt;"IGEN","IGEN",IF(S28&gt;=T28,"IGEN","NEM")))</f>
        <v/>
      </c>
      <c r="V28" s="5" t="n"/>
      <c r="W28" s="5" t="n"/>
      <c r="X28" s="5" t="n"/>
      <c r="Y28" s="5" t="n"/>
      <c r="Z28" s="5">
        <f>IF(X28="","",IF(COUNTIFS($X$5:$X$304,X28,$I$5:$I$304,"&lt;"&amp;I28)=0,I28,""))</f>
        <v/>
      </c>
      <c r="AA28" s="5">
        <f>IF(X28="","",IF(COUNTIFS($X$5:$X$304,X28,$I$5:$I$304,"&lt;"&amp;I28)&gt;0,"NEM",IF(COUNTIFS($X$5:$X$304,X28,$I$5:$I$304,I28)=1,"IGEN",IF(Y28=1,"IGEN","NEM"))))</f>
        <v/>
      </c>
      <c r="AB28" s="5">
        <f>IF(OR(I28="",J28=""),"",IF(OR(I28=0,V28="IGEN",W28="IGEN"),"X",IF(AND(K28&lt;&gt;"IGEN",L28="IGEN",U28="NEM"),"X",IF(AA28="IGEN",J28,"X"))))</f>
        <v/>
      </c>
      <c r="AC28" s="5">
        <f>IF(AB28="X",0,IF(D28="","",D28))</f>
        <v/>
      </c>
      <c r="AD28" s="5">
        <f>IF(AB28="X",IF(D28="","",D28),0)</f>
        <v/>
      </c>
      <c r="AE28" s="6" t="n"/>
      <c r="AF28" s="6">
        <f>IF(E28="","",SUMIFS($AI$5:AI28,$E$5:E28,E28)-AI28)</f>
        <v/>
      </c>
      <c r="AG28" s="6">
        <f>IF(AE28="","",MAX(0,AE28-AF28))</f>
        <v/>
      </c>
      <c r="AH28" s="6">
        <f>IF(S28="","",IF(OR(I28=0,V28="IGEN",W28="IGEN"),0,IF(AND(K28&lt;&gt;"IGEN",L28="IGEN",U28="NEM"),0,S28)))</f>
        <v/>
      </c>
      <c r="AI28" s="6">
        <f>IF(AH28="","",IF(M28="IGEN",MIN(AH28,AG28),AH28))</f>
        <v/>
      </c>
      <c r="AJ28" s="5" t="n"/>
    </row>
    <row r="29">
      <c r="A29" s="5" t="n"/>
      <c r="B29" s="5" t="n"/>
      <c r="C29" s="5" t="n"/>
      <c r="D29" s="5">
        <f>IF(AND(B29&lt;&gt;"",C29&lt;&gt;""),C29-B29+1,"")</f>
        <v/>
      </c>
      <c r="E29" s="5">
        <f>IF(B29&lt;&gt;"",YEAR(B29),"")</f>
        <v/>
      </c>
      <c r="F29" s="6" t="n"/>
      <c r="G29" s="6" t="n"/>
      <c r="H29" s="6" t="n"/>
      <c r="I29" s="5">
        <f>IF(H29="","",IFERROR(INDEX(Szabályok!$B$13:$B$200,MATCH(H29,Szabályok!$A$13:$A$200,0)),""))</f>
        <v/>
      </c>
      <c r="J29" s="5">
        <f>IF(H29="","",IFERROR(INDEX(Szabályok!$C$13:$C$200,MATCH(H29,Szabályok!$A$13:$A$200,0)),""))</f>
        <v/>
      </c>
      <c r="K29" s="5">
        <f>IF(H29="","",IFERROR(INDEX(Szabályok!$D$13:$D$200,MATCH(H29,Szabályok!$A$13:$A$200,0)),""))</f>
        <v/>
      </c>
      <c r="L29" s="5">
        <f>IF(H29="","",IFERROR(INDEX(Szabályok!$E$13:$E$200,MATCH(H29,Szabályok!$A$13:$A$200,0)),""))</f>
        <v/>
      </c>
      <c r="M29" s="5">
        <f>IF(H29="","",IFERROR(INDEX(Szabályok!$F$13:$F$200,MATCH(H29,Szabályok!$A$13:$A$200,0)),""))</f>
        <v/>
      </c>
      <c r="N29" s="5">
        <f>IF(H29="","",IFERROR(INDEX(Szabályok!$G$13:$G$200,MATCH(H29,Szabályok!$A$13:$A$200,0)),""))</f>
        <v/>
      </c>
      <c r="O29" s="5">
        <f>IF(H29="","",IFERROR(INDEX(Szabályok!$H$13:$H$200,MATCH(H29,Szabályok!$A$13:$A$200,0)),""))</f>
        <v/>
      </c>
      <c r="P29" s="5" t="n"/>
      <c r="Q29" s="6" t="n"/>
      <c r="R29" s="6" t="n"/>
      <c r="S29" s="6">
        <f>IF(COUNT(Q29:R29)=0,"",SUM(Q29:R29))</f>
        <v/>
      </c>
      <c r="T29" s="6" t="n"/>
      <c r="U29" s="5">
        <f>IF(T29="","",IF(L29&lt;&gt;"IGEN","IGEN",IF(S29&gt;=T29,"IGEN","NEM")))</f>
        <v/>
      </c>
      <c r="V29" s="5" t="n"/>
      <c r="W29" s="5" t="n"/>
      <c r="X29" s="5" t="n"/>
      <c r="Y29" s="5" t="n"/>
      <c r="Z29" s="5">
        <f>IF(X29="","",IF(COUNTIFS($X$5:$X$304,X29,$I$5:$I$304,"&lt;"&amp;I29)=0,I29,""))</f>
        <v/>
      </c>
      <c r="AA29" s="5">
        <f>IF(X29="","",IF(COUNTIFS($X$5:$X$304,X29,$I$5:$I$304,"&lt;"&amp;I29)&gt;0,"NEM",IF(COUNTIFS($X$5:$X$304,X29,$I$5:$I$304,I29)=1,"IGEN",IF(Y29=1,"IGEN","NEM"))))</f>
        <v/>
      </c>
      <c r="AB29" s="5">
        <f>IF(OR(I29="",J29=""),"",IF(OR(I29=0,V29="IGEN",W29="IGEN"),"X",IF(AND(K29&lt;&gt;"IGEN",L29="IGEN",U29="NEM"),"X",IF(AA29="IGEN",J29,"X"))))</f>
        <v/>
      </c>
      <c r="AC29" s="5">
        <f>IF(AB29="X",0,IF(D29="","",D29))</f>
        <v/>
      </c>
      <c r="AD29" s="5">
        <f>IF(AB29="X",IF(D29="","",D29),0)</f>
        <v/>
      </c>
      <c r="AE29" s="6" t="n"/>
      <c r="AF29" s="6">
        <f>IF(E29="","",SUMIFS($AI$5:AI29,$E$5:E29,E29)-AI29)</f>
        <v/>
      </c>
      <c r="AG29" s="6">
        <f>IF(AE29="","",MAX(0,AE29-AF29))</f>
        <v/>
      </c>
      <c r="AH29" s="6">
        <f>IF(S29="","",IF(OR(I29=0,V29="IGEN",W29="IGEN"),0,IF(AND(K29&lt;&gt;"IGEN",L29="IGEN",U29="NEM"),0,S29)))</f>
        <v/>
      </c>
      <c r="AI29" s="6">
        <f>IF(AH29="","",IF(M29="IGEN",MIN(AH29,AG29),AH29))</f>
        <v/>
      </c>
      <c r="AJ29" s="5" t="n"/>
    </row>
    <row r="30">
      <c r="A30" s="5" t="n"/>
      <c r="B30" s="5" t="n"/>
      <c r="C30" s="5" t="n"/>
      <c r="D30" s="5">
        <f>IF(AND(B30&lt;&gt;"",C30&lt;&gt;""),C30-B30+1,"")</f>
        <v/>
      </c>
      <c r="E30" s="5">
        <f>IF(B30&lt;&gt;"",YEAR(B30),"")</f>
        <v/>
      </c>
      <c r="F30" s="6" t="n"/>
      <c r="G30" s="6" t="n"/>
      <c r="H30" s="6" t="n"/>
      <c r="I30" s="5">
        <f>IF(H30="","",IFERROR(INDEX(Szabályok!$B$13:$B$200,MATCH(H30,Szabályok!$A$13:$A$200,0)),""))</f>
        <v/>
      </c>
      <c r="J30" s="5">
        <f>IF(H30="","",IFERROR(INDEX(Szabályok!$C$13:$C$200,MATCH(H30,Szabályok!$A$13:$A$200,0)),""))</f>
        <v/>
      </c>
      <c r="K30" s="5">
        <f>IF(H30="","",IFERROR(INDEX(Szabályok!$D$13:$D$200,MATCH(H30,Szabályok!$A$13:$A$200,0)),""))</f>
        <v/>
      </c>
      <c r="L30" s="5">
        <f>IF(H30="","",IFERROR(INDEX(Szabályok!$E$13:$E$200,MATCH(H30,Szabályok!$A$13:$A$200,0)),""))</f>
        <v/>
      </c>
      <c r="M30" s="5">
        <f>IF(H30="","",IFERROR(INDEX(Szabályok!$F$13:$F$200,MATCH(H30,Szabályok!$A$13:$A$200,0)),""))</f>
        <v/>
      </c>
      <c r="N30" s="5">
        <f>IF(H30="","",IFERROR(INDEX(Szabályok!$G$13:$G$200,MATCH(H30,Szabályok!$A$13:$A$200,0)),""))</f>
        <v/>
      </c>
      <c r="O30" s="5">
        <f>IF(H30="","",IFERROR(INDEX(Szabályok!$H$13:$H$200,MATCH(H30,Szabályok!$A$13:$A$200,0)),""))</f>
        <v/>
      </c>
      <c r="P30" s="5" t="n"/>
      <c r="Q30" s="6" t="n"/>
      <c r="R30" s="6" t="n"/>
      <c r="S30" s="6">
        <f>IF(COUNT(Q30:R30)=0,"",SUM(Q30:R30))</f>
        <v/>
      </c>
      <c r="T30" s="6" t="n"/>
      <c r="U30" s="5">
        <f>IF(T30="","",IF(L30&lt;&gt;"IGEN","IGEN",IF(S30&gt;=T30,"IGEN","NEM")))</f>
        <v/>
      </c>
      <c r="V30" s="5" t="n"/>
      <c r="W30" s="5" t="n"/>
      <c r="X30" s="5" t="n"/>
      <c r="Y30" s="5" t="n"/>
      <c r="Z30" s="5">
        <f>IF(X30="","",IF(COUNTIFS($X$5:$X$304,X30,$I$5:$I$304,"&lt;"&amp;I30)=0,I30,""))</f>
        <v/>
      </c>
      <c r="AA30" s="5">
        <f>IF(X30="","",IF(COUNTIFS($X$5:$X$304,X30,$I$5:$I$304,"&lt;"&amp;I30)&gt;0,"NEM",IF(COUNTIFS($X$5:$X$304,X30,$I$5:$I$304,I30)=1,"IGEN",IF(Y30=1,"IGEN","NEM"))))</f>
        <v/>
      </c>
      <c r="AB30" s="5">
        <f>IF(OR(I30="",J30=""),"",IF(OR(I30=0,V30="IGEN",W30="IGEN"),"X",IF(AND(K30&lt;&gt;"IGEN",L30="IGEN",U30="NEM"),"X",IF(AA30="IGEN",J30,"X"))))</f>
        <v/>
      </c>
      <c r="AC30" s="5">
        <f>IF(AB30="X",0,IF(D30="","",D30))</f>
        <v/>
      </c>
      <c r="AD30" s="5">
        <f>IF(AB30="X",IF(D30="","",D30),0)</f>
        <v/>
      </c>
      <c r="AE30" s="6" t="n"/>
      <c r="AF30" s="6">
        <f>IF(E30="","",SUMIFS($AI$5:AI30,$E$5:E30,E30)-AI30)</f>
        <v/>
      </c>
      <c r="AG30" s="6">
        <f>IF(AE30="","",MAX(0,AE30-AF30))</f>
        <v/>
      </c>
      <c r="AH30" s="6">
        <f>IF(S30="","",IF(OR(I30=0,V30="IGEN",W30="IGEN"),0,IF(AND(K30&lt;&gt;"IGEN",L30="IGEN",U30="NEM"),0,S30)))</f>
        <v/>
      </c>
      <c r="AI30" s="6">
        <f>IF(AH30="","",IF(M30="IGEN",MIN(AH30,AG30),AH30))</f>
        <v/>
      </c>
      <c r="AJ30" s="5" t="n"/>
    </row>
    <row r="31">
      <c r="A31" s="5" t="n"/>
      <c r="B31" s="5" t="n"/>
      <c r="C31" s="5" t="n"/>
      <c r="D31" s="5">
        <f>IF(AND(B31&lt;&gt;"",C31&lt;&gt;""),C31-B31+1,"")</f>
        <v/>
      </c>
      <c r="E31" s="5">
        <f>IF(B31&lt;&gt;"",YEAR(B31),"")</f>
        <v/>
      </c>
      <c r="F31" s="6" t="n"/>
      <c r="G31" s="6" t="n"/>
      <c r="H31" s="6" t="n"/>
      <c r="I31" s="5">
        <f>IF(H31="","",IFERROR(INDEX(Szabályok!$B$13:$B$200,MATCH(H31,Szabályok!$A$13:$A$200,0)),""))</f>
        <v/>
      </c>
      <c r="J31" s="5">
        <f>IF(H31="","",IFERROR(INDEX(Szabályok!$C$13:$C$200,MATCH(H31,Szabályok!$A$13:$A$200,0)),""))</f>
        <v/>
      </c>
      <c r="K31" s="5">
        <f>IF(H31="","",IFERROR(INDEX(Szabályok!$D$13:$D$200,MATCH(H31,Szabályok!$A$13:$A$200,0)),""))</f>
        <v/>
      </c>
      <c r="L31" s="5">
        <f>IF(H31="","",IFERROR(INDEX(Szabályok!$E$13:$E$200,MATCH(H31,Szabályok!$A$13:$A$200,0)),""))</f>
        <v/>
      </c>
      <c r="M31" s="5">
        <f>IF(H31="","",IFERROR(INDEX(Szabályok!$F$13:$F$200,MATCH(H31,Szabályok!$A$13:$A$200,0)),""))</f>
        <v/>
      </c>
      <c r="N31" s="5">
        <f>IF(H31="","",IFERROR(INDEX(Szabályok!$G$13:$G$200,MATCH(H31,Szabályok!$A$13:$A$200,0)),""))</f>
        <v/>
      </c>
      <c r="O31" s="5">
        <f>IF(H31="","",IFERROR(INDEX(Szabályok!$H$13:$H$200,MATCH(H31,Szabályok!$A$13:$A$200,0)),""))</f>
        <v/>
      </c>
      <c r="P31" s="5" t="n"/>
      <c r="Q31" s="6" t="n"/>
      <c r="R31" s="6" t="n"/>
      <c r="S31" s="6">
        <f>IF(COUNT(Q31:R31)=0,"",SUM(Q31:R31))</f>
        <v/>
      </c>
      <c r="T31" s="6" t="n"/>
      <c r="U31" s="5">
        <f>IF(T31="","",IF(L31&lt;&gt;"IGEN","IGEN",IF(S31&gt;=T31,"IGEN","NEM")))</f>
        <v/>
      </c>
      <c r="V31" s="5" t="n"/>
      <c r="W31" s="5" t="n"/>
      <c r="X31" s="5" t="n"/>
      <c r="Y31" s="5" t="n"/>
      <c r="Z31" s="5">
        <f>IF(X31="","",IF(COUNTIFS($X$5:$X$304,X31,$I$5:$I$304,"&lt;"&amp;I31)=0,I31,""))</f>
        <v/>
      </c>
      <c r="AA31" s="5">
        <f>IF(X31="","",IF(COUNTIFS($X$5:$X$304,X31,$I$5:$I$304,"&lt;"&amp;I31)&gt;0,"NEM",IF(COUNTIFS($X$5:$X$304,X31,$I$5:$I$304,I31)=1,"IGEN",IF(Y31=1,"IGEN","NEM"))))</f>
        <v/>
      </c>
      <c r="AB31" s="5">
        <f>IF(OR(I31="",J31=""),"",IF(OR(I31=0,V31="IGEN",W31="IGEN"),"X",IF(AND(K31&lt;&gt;"IGEN",L31="IGEN",U31="NEM"),"X",IF(AA31="IGEN",J31,"X"))))</f>
        <v/>
      </c>
      <c r="AC31" s="5">
        <f>IF(AB31="X",0,IF(D31="","",D31))</f>
        <v/>
      </c>
      <c r="AD31" s="5">
        <f>IF(AB31="X",IF(D31="","",D31),0)</f>
        <v/>
      </c>
      <c r="AE31" s="6" t="n"/>
      <c r="AF31" s="6">
        <f>IF(E31="","",SUMIFS($AI$5:AI31,$E$5:E31,E31)-AI31)</f>
        <v/>
      </c>
      <c r="AG31" s="6">
        <f>IF(AE31="","",MAX(0,AE31-AF31))</f>
        <v/>
      </c>
      <c r="AH31" s="6">
        <f>IF(S31="","",IF(OR(I31=0,V31="IGEN",W31="IGEN"),0,IF(AND(K31&lt;&gt;"IGEN",L31="IGEN",U31="NEM"),0,S31)))</f>
        <v/>
      </c>
      <c r="AI31" s="6">
        <f>IF(AH31="","",IF(M31="IGEN",MIN(AH31,AG31),AH31))</f>
        <v/>
      </c>
      <c r="AJ31" s="5" t="n"/>
    </row>
    <row r="32">
      <c r="A32" s="5" t="n"/>
      <c r="B32" s="5" t="n"/>
      <c r="C32" s="5" t="n"/>
      <c r="D32" s="5">
        <f>IF(AND(B32&lt;&gt;"",C32&lt;&gt;""),C32-B32+1,"")</f>
        <v/>
      </c>
      <c r="E32" s="5">
        <f>IF(B32&lt;&gt;"",YEAR(B32),"")</f>
        <v/>
      </c>
      <c r="F32" s="6" t="n"/>
      <c r="G32" s="6" t="n"/>
      <c r="H32" s="6" t="n"/>
      <c r="I32" s="5">
        <f>IF(H32="","",IFERROR(INDEX(Szabályok!$B$13:$B$200,MATCH(H32,Szabályok!$A$13:$A$200,0)),""))</f>
        <v/>
      </c>
      <c r="J32" s="5">
        <f>IF(H32="","",IFERROR(INDEX(Szabályok!$C$13:$C$200,MATCH(H32,Szabályok!$A$13:$A$200,0)),""))</f>
        <v/>
      </c>
      <c r="K32" s="5">
        <f>IF(H32="","",IFERROR(INDEX(Szabályok!$D$13:$D$200,MATCH(H32,Szabályok!$A$13:$A$200,0)),""))</f>
        <v/>
      </c>
      <c r="L32" s="5">
        <f>IF(H32="","",IFERROR(INDEX(Szabályok!$E$13:$E$200,MATCH(H32,Szabályok!$A$13:$A$200,0)),""))</f>
        <v/>
      </c>
      <c r="M32" s="5">
        <f>IF(H32="","",IFERROR(INDEX(Szabályok!$F$13:$F$200,MATCH(H32,Szabályok!$A$13:$A$200,0)),""))</f>
        <v/>
      </c>
      <c r="N32" s="5">
        <f>IF(H32="","",IFERROR(INDEX(Szabályok!$G$13:$G$200,MATCH(H32,Szabályok!$A$13:$A$200,0)),""))</f>
        <v/>
      </c>
      <c r="O32" s="5">
        <f>IF(H32="","",IFERROR(INDEX(Szabályok!$H$13:$H$200,MATCH(H32,Szabályok!$A$13:$A$200,0)),""))</f>
        <v/>
      </c>
      <c r="P32" s="5" t="n"/>
      <c r="Q32" s="6" t="n"/>
      <c r="R32" s="6" t="n"/>
      <c r="S32" s="6">
        <f>IF(COUNT(Q32:R32)=0,"",SUM(Q32:R32))</f>
        <v/>
      </c>
      <c r="T32" s="6" t="n"/>
      <c r="U32" s="5">
        <f>IF(T32="","",IF(L32&lt;&gt;"IGEN","IGEN",IF(S32&gt;=T32,"IGEN","NEM")))</f>
        <v/>
      </c>
      <c r="V32" s="5" t="n"/>
      <c r="W32" s="5" t="n"/>
      <c r="X32" s="5" t="n"/>
      <c r="Y32" s="5" t="n"/>
      <c r="Z32" s="5">
        <f>IF(X32="","",IF(COUNTIFS($X$5:$X$304,X32,$I$5:$I$304,"&lt;"&amp;I32)=0,I32,""))</f>
        <v/>
      </c>
      <c r="AA32" s="5">
        <f>IF(X32="","",IF(COUNTIFS($X$5:$X$304,X32,$I$5:$I$304,"&lt;"&amp;I32)&gt;0,"NEM",IF(COUNTIFS($X$5:$X$304,X32,$I$5:$I$304,I32)=1,"IGEN",IF(Y32=1,"IGEN","NEM"))))</f>
        <v/>
      </c>
      <c r="AB32" s="5">
        <f>IF(OR(I32="",J32=""),"",IF(OR(I32=0,V32="IGEN",W32="IGEN"),"X",IF(AND(K32&lt;&gt;"IGEN",L32="IGEN",U32="NEM"),"X",IF(AA32="IGEN",J32,"X"))))</f>
        <v/>
      </c>
      <c r="AC32" s="5">
        <f>IF(AB32="X",0,IF(D32="","",D32))</f>
        <v/>
      </c>
      <c r="AD32" s="5">
        <f>IF(AB32="X",IF(D32="","",D32),0)</f>
        <v/>
      </c>
      <c r="AE32" s="6" t="n"/>
      <c r="AF32" s="6">
        <f>IF(E32="","",SUMIFS($AI$5:AI32,$E$5:E32,E32)-AI32)</f>
        <v/>
      </c>
      <c r="AG32" s="6">
        <f>IF(AE32="","",MAX(0,AE32-AF32))</f>
        <v/>
      </c>
      <c r="AH32" s="6">
        <f>IF(S32="","",IF(OR(I32=0,V32="IGEN",W32="IGEN"),0,IF(AND(K32&lt;&gt;"IGEN",L32="IGEN",U32="NEM"),0,S32)))</f>
        <v/>
      </c>
      <c r="AI32" s="6">
        <f>IF(AH32="","",IF(M32="IGEN",MIN(AH32,AG32),AH32))</f>
        <v/>
      </c>
      <c r="AJ32" s="5" t="n"/>
    </row>
    <row r="33">
      <c r="A33" s="5" t="n"/>
      <c r="B33" s="5" t="n"/>
      <c r="C33" s="5" t="n"/>
      <c r="D33" s="5">
        <f>IF(AND(B33&lt;&gt;"",C33&lt;&gt;""),C33-B33+1,"")</f>
        <v/>
      </c>
      <c r="E33" s="5">
        <f>IF(B33&lt;&gt;"",YEAR(B33),"")</f>
        <v/>
      </c>
      <c r="F33" s="6" t="n"/>
      <c r="G33" s="6" t="n"/>
      <c r="H33" s="6" t="n"/>
      <c r="I33" s="5">
        <f>IF(H33="","",IFERROR(INDEX(Szabályok!$B$13:$B$200,MATCH(H33,Szabályok!$A$13:$A$200,0)),""))</f>
        <v/>
      </c>
      <c r="J33" s="5">
        <f>IF(H33="","",IFERROR(INDEX(Szabályok!$C$13:$C$200,MATCH(H33,Szabályok!$A$13:$A$200,0)),""))</f>
        <v/>
      </c>
      <c r="K33" s="5">
        <f>IF(H33="","",IFERROR(INDEX(Szabályok!$D$13:$D$200,MATCH(H33,Szabályok!$A$13:$A$200,0)),""))</f>
        <v/>
      </c>
      <c r="L33" s="5">
        <f>IF(H33="","",IFERROR(INDEX(Szabályok!$E$13:$E$200,MATCH(H33,Szabályok!$A$13:$A$200,0)),""))</f>
        <v/>
      </c>
      <c r="M33" s="5">
        <f>IF(H33="","",IFERROR(INDEX(Szabályok!$F$13:$F$200,MATCH(H33,Szabályok!$A$13:$A$200,0)),""))</f>
        <v/>
      </c>
      <c r="N33" s="5">
        <f>IF(H33="","",IFERROR(INDEX(Szabályok!$G$13:$G$200,MATCH(H33,Szabályok!$A$13:$A$200,0)),""))</f>
        <v/>
      </c>
      <c r="O33" s="5">
        <f>IF(H33="","",IFERROR(INDEX(Szabályok!$H$13:$H$200,MATCH(H33,Szabályok!$A$13:$A$200,0)),""))</f>
        <v/>
      </c>
      <c r="P33" s="5" t="n"/>
      <c r="Q33" s="6" t="n"/>
      <c r="R33" s="6" t="n"/>
      <c r="S33" s="6">
        <f>IF(COUNT(Q33:R33)=0,"",SUM(Q33:R33))</f>
        <v/>
      </c>
      <c r="T33" s="6" t="n"/>
      <c r="U33" s="5">
        <f>IF(T33="","",IF(L33&lt;&gt;"IGEN","IGEN",IF(S33&gt;=T33,"IGEN","NEM")))</f>
        <v/>
      </c>
      <c r="V33" s="5" t="n"/>
      <c r="W33" s="5" t="n"/>
      <c r="X33" s="5" t="n"/>
      <c r="Y33" s="5" t="n"/>
      <c r="Z33" s="5">
        <f>IF(X33="","",IF(COUNTIFS($X$5:$X$304,X33,$I$5:$I$304,"&lt;"&amp;I33)=0,I33,""))</f>
        <v/>
      </c>
      <c r="AA33" s="5">
        <f>IF(X33="","",IF(COUNTIFS($X$5:$X$304,X33,$I$5:$I$304,"&lt;"&amp;I33)&gt;0,"NEM",IF(COUNTIFS($X$5:$X$304,X33,$I$5:$I$304,I33)=1,"IGEN",IF(Y33=1,"IGEN","NEM"))))</f>
        <v/>
      </c>
      <c r="AB33" s="5">
        <f>IF(OR(I33="",J33=""),"",IF(OR(I33=0,V33="IGEN",W33="IGEN"),"X",IF(AND(K33&lt;&gt;"IGEN",L33="IGEN",U33="NEM"),"X",IF(AA33="IGEN",J33,"X"))))</f>
        <v/>
      </c>
      <c r="AC33" s="5">
        <f>IF(AB33="X",0,IF(D33="","",D33))</f>
        <v/>
      </c>
      <c r="AD33" s="5">
        <f>IF(AB33="X",IF(D33="","",D33),0)</f>
        <v/>
      </c>
      <c r="AE33" s="6" t="n"/>
      <c r="AF33" s="6">
        <f>IF(E33="","",SUMIFS($AI$5:AI33,$E$5:E33,E33)-AI33)</f>
        <v/>
      </c>
      <c r="AG33" s="6">
        <f>IF(AE33="","",MAX(0,AE33-AF33))</f>
        <v/>
      </c>
      <c r="AH33" s="6">
        <f>IF(S33="","",IF(OR(I33=0,V33="IGEN",W33="IGEN"),0,IF(AND(K33&lt;&gt;"IGEN",L33="IGEN",U33="NEM"),0,S33)))</f>
        <v/>
      </c>
      <c r="AI33" s="6">
        <f>IF(AH33="","",IF(M33="IGEN",MIN(AH33,AG33),AH33))</f>
        <v/>
      </c>
      <c r="AJ33" s="5" t="n"/>
    </row>
    <row r="34">
      <c r="A34" s="5" t="n"/>
      <c r="B34" s="5" t="n"/>
      <c r="C34" s="5" t="n"/>
      <c r="D34" s="5">
        <f>IF(AND(B34&lt;&gt;"",C34&lt;&gt;""),C34-B34+1,"")</f>
        <v/>
      </c>
      <c r="E34" s="5">
        <f>IF(B34&lt;&gt;"",YEAR(B34),"")</f>
        <v/>
      </c>
      <c r="F34" s="6" t="n"/>
      <c r="G34" s="6" t="n"/>
      <c r="H34" s="6" t="n"/>
      <c r="I34" s="5">
        <f>IF(H34="","",IFERROR(INDEX(Szabályok!$B$13:$B$200,MATCH(H34,Szabályok!$A$13:$A$200,0)),""))</f>
        <v/>
      </c>
      <c r="J34" s="5">
        <f>IF(H34="","",IFERROR(INDEX(Szabályok!$C$13:$C$200,MATCH(H34,Szabályok!$A$13:$A$200,0)),""))</f>
        <v/>
      </c>
      <c r="K34" s="5">
        <f>IF(H34="","",IFERROR(INDEX(Szabályok!$D$13:$D$200,MATCH(H34,Szabályok!$A$13:$A$200,0)),""))</f>
        <v/>
      </c>
      <c r="L34" s="5">
        <f>IF(H34="","",IFERROR(INDEX(Szabályok!$E$13:$E$200,MATCH(H34,Szabályok!$A$13:$A$200,0)),""))</f>
        <v/>
      </c>
      <c r="M34" s="5">
        <f>IF(H34="","",IFERROR(INDEX(Szabályok!$F$13:$F$200,MATCH(H34,Szabályok!$A$13:$A$200,0)),""))</f>
        <v/>
      </c>
      <c r="N34" s="5">
        <f>IF(H34="","",IFERROR(INDEX(Szabályok!$G$13:$G$200,MATCH(H34,Szabályok!$A$13:$A$200,0)),""))</f>
        <v/>
      </c>
      <c r="O34" s="5">
        <f>IF(H34="","",IFERROR(INDEX(Szabályok!$H$13:$H$200,MATCH(H34,Szabályok!$A$13:$A$200,0)),""))</f>
        <v/>
      </c>
      <c r="P34" s="5" t="n"/>
      <c r="Q34" s="6" t="n"/>
      <c r="R34" s="6" t="n"/>
      <c r="S34" s="6">
        <f>IF(COUNT(Q34:R34)=0,"",SUM(Q34:R34))</f>
        <v/>
      </c>
      <c r="T34" s="6" t="n"/>
      <c r="U34" s="5">
        <f>IF(T34="","",IF(L34&lt;&gt;"IGEN","IGEN",IF(S34&gt;=T34,"IGEN","NEM")))</f>
        <v/>
      </c>
      <c r="V34" s="5" t="n"/>
      <c r="W34" s="5" t="n"/>
      <c r="X34" s="5" t="n"/>
      <c r="Y34" s="5" t="n"/>
      <c r="Z34" s="5">
        <f>IF(X34="","",IF(COUNTIFS($X$5:$X$304,X34,$I$5:$I$304,"&lt;"&amp;I34)=0,I34,""))</f>
        <v/>
      </c>
      <c r="AA34" s="5">
        <f>IF(X34="","",IF(COUNTIFS($X$5:$X$304,X34,$I$5:$I$304,"&lt;"&amp;I34)&gt;0,"NEM",IF(COUNTIFS($X$5:$X$304,X34,$I$5:$I$304,I34)=1,"IGEN",IF(Y34=1,"IGEN","NEM"))))</f>
        <v/>
      </c>
      <c r="AB34" s="5">
        <f>IF(OR(I34="",J34=""),"",IF(OR(I34=0,V34="IGEN",W34="IGEN"),"X",IF(AND(K34&lt;&gt;"IGEN",L34="IGEN",U34="NEM"),"X",IF(AA34="IGEN",J34,"X"))))</f>
        <v/>
      </c>
      <c r="AC34" s="5">
        <f>IF(AB34="X",0,IF(D34="","",D34))</f>
        <v/>
      </c>
      <c r="AD34" s="5">
        <f>IF(AB34="X",IF(D34="","",D34),0)</f>
        <v/>
      </c>
      <c r="AE34" s="6" t="n"/>
      <c r="AF34" s="6">
        <f>IF(E34="","",SUMIFS($AI$5:AI34,$E$5:E34,E34)-AI34)</f>
        <v/>
      </c>
      <c r="AG34" s="6">
        <f>IF(AE34="","",MAX(0,AE34-AF34))</f>
        <v/>
      </c>
      <c r="AH34" s="6">
        <f>IF(S34="","",IF(OR(I34=0,V34="IGEN",W34="IGEN"),0,IF(AND(K34&lt;&gt;"IGEN",L34="IGEN",U34="NEM"),0,S34)))</f>
        <v/>
      </c>
      <c r="AI34" s="6">
        <f>IF(AH34="","",IF(M34="IGEN",MIN(AH34,AG34),AH34))</f>
        <v/>
      </c>
      <c r="AJ34" s="5" t="n"/>
    </row>
    <row r="35">
      <c r="A35" s="5" t="n"/>
      <c r="B35" s="5" t="n"/>
      <c r="C35" s="5" t="n"/>
      <c r="D35" s="5">
        <f>IF(AND(B35&lt;&gt;"",C35&lt;&gt;""),C35-B35+1,"")</f>
        <v/>
      </c>
      <c r="E35" s="5">
        <f>IF(B35&lt;&gt;"",YEAR(B35),"")</f>
        <v/>
      </c>
      <c r="F35" s="6" t="n"/>
      <c r="G35" s="6" t="n"/>
      <c r="H35" s="6" t="n"/>
      <c r="I35" s="5">
        <f>IF(H35="","",IFERROR(INDEX(Szabályok!$B$13:$B$200,MATCH(H35,Szabályok!$A$13:$A$200,0)),""))</f>
        <v/>
      </c>
      <c r="J35" s="5">
        <f>IF(H35="","",IFERROR(INDEX(Szabályok!$C$13:$C$200,MATCH(H35,Szabályok!$A$13:$A$200,0)),""))</f>
        <v/>
      </c>
      <c r="K35" s="5">
        <f>IF(H35="","",IFERROR(INDEX(Szabályok!$D$13:$D$200,MATCH(H35,Szabályok!$A$13:$A$200,0)),""))</f>
        <v/>
      </c>
      <c r="L35" s="5">
        <f>IF(H35="","",IFERROR(INDEX(Szabályok!$E$13:$E$200,MATCH(H35,Szabályok!$A$13:$A$200,0)),""))</f>
        <v/>
      </c>
      <c r="M35" s="5">
        <f>IF(H35="","",IFERROR(INDEX(Szabályok!$F$13:$F$200,MATCH(H35,Szabályok!$A$13:$A$200,0)),""))</f>
        <v/>
      </c>
      <c r="N35" s="5">
        <f>IF(H35="","",IFERROR(INDEX(Szabályok!$G$13:$G$200,MATCH(H35,Szabályok!$A$13:$A$200,0)),""))</f>
        <v/>
      </c>
      <c r="O35" s="5">
        <f>IF(H35="","",IFERROR(INDEX(Szabályok!$H$13:$H$200,MATCH(H35,Szabályok!$A$13:$A$200,0)),""))</f>
        <v/>
      </c>
      <c r="P35" s="5" t="n"/>
      <c r="Q35" s="6" t="n"/>
      <c r="R35" s="6" t="n"/>
      <c r="S35" s="6">
        <f>IF(COUNT(Q35:R35)=0,"",SUM(Q35:R35))</f>
        <v/>
      </c>
      <c r="T35" s="6" t="n"/>
      <c r="U35" s="5">
        <f>IF(T35="","",IF(L35&lt;&gt;"IGEN","IGEN",IF(S35&gt;=T35,"IGEN","NEM")))</f>
        <v/>
      </c>
      <c r="V35" s="5" t="n"/>
      <c r="W35" s="5" t="n"/>
      <c r="X35" s="5" t="n"/>
      <c r="Y35" s="5" t="n"/>
      <c r="Z35" s="5">
        <f>IF(X35="","",IF(COUNTIFS($X$5:$X$304,X35,$I$5:$I$304,"&lt;"&amp;I35)=0,I35,""))</f>
        <v/>
      </c>
      <c r="AA35" s="5">
        <f>IF(X35="","",IF(COUNTIFS($X$5:$X$304,X35,$I$5:$I$304,"&lt;"&amp;I35)&gt;0,"NEM",IF(COUNTIFS($X$5:$X$304,X35,$I$5:$I$304,I35)=1,"IGEN",IF(Y35=1,"IGEN","NEM"))))</f>
        <v/>
      </c>
      <c r="AB35" s="5">
        <f>IF(OR(I35="",J35=""),"",IF(OR(I35=0,V35="IGEN",W35="IGEN"),"X",IF(AND(K35&lt;&gt;"IGEN",L35="IGEN",U35="NEM"),"X",IF(AA35="IGEN",J35,"X"))))</f>
        <v/>
      </c>
      <c r="AC35" s="5">
        <f>IF(AB35="X",0,IF(D35="","",D35))</f>
        <v/>
      </c>
      <c r="AD35" s="5">
        <f>IF(AB35="X",IF(D35="","",D35),0)</f>
        <v/>
      </c>
      <c r="AE35" s="6" t="n"/>
      <c r="AF35" s="6">
        <f>IF(E35="","",SUMIFS($AI$5:AI35,$E$5:E35,E35)-AI35)</f>
        <v/>
      </c>
      <c r="AG35" s="6">
        <f>IF(AE35="","",MAX(0,AE35-AF35))</f>
        <v/>
      </c>
      <c r="AH35" s="6">
        <f>IF(S35="","",IF(OR(I35=0,V35="IGEN",W35="IGEN"),0,IF(AND(K35&lt;&gt;"IGEN",L35="IGEN",U35="NEM"),0,S35)))</f>
        <v/>
      </c>
      <c r="AI35" s="6">
        <f>IF(AH35="","",IF(M35="IGEN",MIN(AH35,AG35),AH35))</f>
        <v/>
      </c>
      <c r="AJ35" s="5" t="n"/>
    </row>
    <row r="36">
      <c r="A36" s="5" t="n"/>
      <c r="B36" s="5" t="n"/>
      <c r="C36" s="5" t="n"/>
      <c r="D36" s="5">
        <f>IF(AND(B36&lt;&gt;"",C36&lt;&gt;""),C36-B36+1,"")</f>
        <v/>
      </c>
      <c r="E36" s="5">
        <f>IF(B36&lt;&gt;"",YEAR(B36),"")</f>
        <v/>
      </c>
      <c r="F36" s="6" t="n"/>
      <c r="G36" s="6" t="n"/>
      <c r="H36" s="6" t="n"/>
      <c r="I36" s="5">
        <f>IF(H36="","",IFERROR(INDEX(Szabályok!$B$13:$B$200,MATCH(H36,Szabályok!$A$13:$A$200,0)),""))</f>
        <v/>
      </c>
      <c r="J36" s="5">
        <f>IF(H36="","",IFERROR(INDEX(Szabályok!$C$13:$C$200,MATCH(H36,Szabályok!$A$13:$A$200,0)),""))</f>
        <v/>
      </c>
      <c r="K36" s="5">
        <f>IF(H36="","",IFERROR(INDEX(Szabályok!$D$13:$D$200,MATCH(H36,Szabályok!$A$13:$A$200,0)),""))</f>
        <v/>
      </c>
      <c r="L36" s="5">
        <f>IF(H36="","",IFERROR(INDEX(Szabályok!$E$13:$E$200,MATCH(H36,Szabályok!$A$13:$A$200,0)),""))</f>
        <v/>
      </c>
      <c r="M36" s="5">
        <f>IF(H36="","",IFERROR(INDEX(Szabályok!$F$13:$F$200,MATCH(H36,Szabályok!$A$13:$A$200,0)),""))</f>
        <v/>
      </c>
      <c r="N36" s="5">
        <f>IF(H36="","",IFERROR(INDEX(Szabályok!$G$13:$G$200,MATCH(H36,Szabályok!$A$13:$A$200,0)),""))</f>
        <v/>
      </c>
      <c r="O36" s="5">
        <f>IF(H36="","",IFERROR(INDEX(Szabályok!$H$13:$H$200,MATCH(H36,Szabályok!$A$13:$A$200,0)),""))</f>
        <v/>
      </c>
      <c r="P36" s="5" t="n"/>
      <c r="Q36" s="6" t="n"/>
      <c r="R36" s="6" t="n"/>
      <c r="S36" s="6">
        <f>IF(COUNT(Q36:R36)=0,"",SUM(Q36:R36))</f>
        <v/>
      </c>
      <c r="T36" s="6" t="n"/>
      <c r="U36" s="5">
        <f>IF(T36="","",IF(L36&lt;&gt;"IGEN","IGEN",IF(S36&gt;=T36,"IGEN","NEM")))</f>
        <v/>
      </c>
      <c r="V36" s="5" t="n"/>
      <c r="W36" s="5" t="n"/>
      <c r="X36" s="5" t="n"/>
      <c r="Y36" s="5" t="n"/>
      <c r="Z36" s="5">
        <f>IF(X36="","",IF(COUNTIFS($X$5:$X$304,X36,$I$5:$I$304,"&lt;"&amp;I36)=0,I36,""))</f>
        <v/>
      </c>
      <c r="AA36" s="5">
        <f>IF(X36="","",IF(COUNTIFS($X$5:$X$304,X36,$I$5:$I$304,"&lt;"&amp;I36)&gt;0,"NEM",IF(COUNTIFS($X$5:$X$304,X36,$I$5:$I$304,I36)=1,"IGEN",IF(Y36=1,"IGEN","NEM"))))</f>
        <v/>
      </c>
      <c r="AB36" s="5">
        <f>IF(OR(I36="",J36=""),"",IF(OR(I36=0,V36="IGEN",W36="IGEN"),"X",IF(AND(K36&lt;&gt;"IGEN",L36="IGEN",U36="NEM"),"X",IF(AA36="IGEN",J36,"X"))))</f>
        <v/>
      </c>
      <c r="AC36" s="5">
        <f>IF(AB36="X",0,IF(D36="","",D36))</f>
        <v/>
      </c>
      <c r="AD36" s="5">
        <f>IF(AB36="X",IF(D36="","",D36),0)</f>
        <v/>
      </c>
      <c r="AE36" s="6" t="n"/>
      <c r="AF36" s="6">
        <f>IF(E36="","",SUMIFS($AI$5:AI36,$E$5:E36,E36)-AI36)</f>
        <v/>
      </c>
      <c r="AG36" s="6">
        <f>IF(AE36="","",MAX(0,AE36-AF36))</f>
        <v/>
      </c>
      <c r="AH36" s="6">
        <f>IF(S36="","",IF(OR(I36=0,V36="IGEN",W36="IGEN"),0,IF(AND(K36&lt;&gt;"IGEN",L36="IGEN",U36="NEM"),0,S36)))</f>
        <v/>
      </c>
      <c r="AI36" s="6">
        <f>IF(AH36="","",IF(M36="IGEN",MIN(AH36,AG36),AH36))</f>
        <v/>
      </c>
      <c r="AJ36" s="5" t="n"/>
    </row>
    <row r="37">
      <c r="A37" s="5" t="n"/>
      <c r="B37" s="5" t="n"/>
      <c r="C37" s="5" t="n"/>
      <c r="D37" s="5">
        <f>IF(AND(B37&lt;&gt;"",C37&lt;&gt;""),C37-B37+1,"")</f>
        <v/>
      </c>
      <c r="E37" s="5">
        <f>IF(B37&lt;&gt;"",YEAR(B37),"")</f>
        <v/>
      </c>
      <c r="F37" s="6" t="n"/>
      <c r="G37" s="6" t="n"/>
      <c r="H37" s="6" t="n"/>
      <c r="I37" s="5">
        <f>IF(H37="","",IFERROR(INDEX(Szabályok!$B$13:$B$200,MATCH(H37,Szabályok!$A$13:$A$200,0)),""))</f>
        <v/>
      </c>
      <c r="J37" s="5">
        <f>IF(H37="","",IFERROR(INDEX(Szabályok!$C$13:$C$200,MATCH(H37,Szabályok!$A$13:$A$200,0)),""))</f>
        <v/>
      </c>
      <c r="K37" s="5">
        <f>IF(H37="","",IFERROR(INDEX(Szabályok!$D$13:$D$200,MATCH(H37,Szabályok!$A$13:$A$200,0)),""))</f>
        <v/>
      </c>
      <c r="L37" s="5">
        <f>IF(H37="","",IFERROR(INDEX(Szabályok!$E$13:$E$200,MATCH(H37,Szabályok!$A$13:$A$200,0)),""))</f>
        <v/>
      </c>
      <c r="M37" s="5">
        <f>IF(H37="","",IFERROR(INDEX(Szabályok!$F$13:$F$200,MATCH(H37,Szabályok!$A$13:$A$200,0)),""))</f>
        <v/>
      </c>
      <c r="N37" s="5">
        <f>IF(H37="","",IFERROR(INDEX(Szabályok!$G$13:$G$200,MATCH(H37,Szabályok!$A$13:$A$200,0)),""))</f>
        <v/>
      </c>
      <c r="O37" s="5">
        <f>IF(H37="","",IFERROR(INDEX(Szabályok!$H$13:$H$200,MATCH(H37,Szabályok!$A$13:$A$200,0)),""))</f>
        <v/>
      </c>
      <c r="P37" s="5" t="n"/>
      <c r="Q37" s="6" t="n"/>
      <c r="R37" s="6" t="n"/>
      <c r="S37" s="6">
        <f>IF(COUNT(Q37:R37)=0,"",SUM(Q37:R37))</f>
        <v/>
      </c>
      <c r="T37" s="6" t="n"/>
      <c r="U37" s="5">
        <f>IF(T37="","",IF(L37&lt;&gt;"IGEN","IGEN",IF(S37&gt;=T37,"IGEN","NEM")))</f>
        <v/>
      </c>
      <c r="V37" s="5" t="n"/>
      <c r="W37" s="5" t="n"/>
      <c r="X37" s="5" t="n"/>
      <c r="Y37" s="5" t="n"/>
      <c r="Z37" s="5">
        <f>IF(X37="","",IF(COUNTIFS($X$5:$X$304,X37,$I$5:$I$304,"&lt;"&amp;I37)=0,I37,""))</f>
        <v/>
      </c>
      <c r="AA37" s="5">
        <f>IF(X37="","",IF(COUNTIFS($X$5:$X$304,X37,$I$5:$I$304,"&lt;"&amp;I37)&gt;0,"NEM",IF(COUNTIFS($X$5:$X$304,X37,$I$5:$I$304,I37)=1,"IGEN",IF(Y37=1,"IGEN","NEM"))))</f>
        <v/>
      </c>
      <c r="AB37" s="5">
        <f>IF(OR(I37="",J37=""),"",IF(OR(I37=0,V37="IGEN",W37="IGEN"),"X",IF(AND(K37&lt;&gt;"IGEN",L37="IGEN",U37="NEM"),"X",IF(AA37="IGEN",J37,"X"))))</f>
        <v/>
      </c>
      <c r="AC37" s="5">
        <f>IF(AB37="X",0,IF(D37="","",D37))</f>
        <v/>
      </c>
      <c r="AD37" s="5">
        <f>IF(AB37="X",IF(D37="","",D37),0)</f>
        <v/>
      </c>
      <c r="AE37" s="6" t="n"/>
      <c r="AF37" s="6">
        <f>IF(E37="","",SUMIFS($AI$5:AI37,$E$5:E37,E37)-AI37)</f>
        <v/>
      </c>
      <c r="AG37" s="6">
        <f>IF(AE37="","",MAX(0,AE37-AF37))</f>
        <v/>
      </c>
      <c r="AH37" s="6">
        <f>IF(S37="","",IF(OR(I37=0,V37="IGEN",W37="IGEN"),0,IF(AND(K37&lt;&gt;"IGEN",L37="IGEN",U37="NEM"),0,S37)))</f>
        <v/>
      </c>
      <c r="AI37" s="6">
        <f>IF(AH37="","",IF(M37="IGEN",MIN(AH37,AG37),AH37))</f>
        <v/>
      </c>
      <c r="AJ37" s="5" t="n"/>
    </row>
    <row r="38">
      <c r="A38" s="5" t="n"/>
      <c r="B38" s="5" t="n"/>
      <c r="C38" s="5" t="n"/>
      <c r="D38" s="5">
        <f>IF(AND(B38&lt;&gt;"",C38&lt;&gt;""),C38-B38+1,"")</f>
        <v/>
      </c>
      <c r="E38" s="5">
        <f>IF(B38&lt;&gt;"",YEAR(B38),"")</f>
        <v/>
      </c>
      <c r="F38" s="6" t="n"/>
      <c r="G38" s="6" t="n"/>
      <c r="H38" s="6" t="n"/>
      <c r="I38" s="5">
        <f>IF(H38="","",IFERROR(INDEX(Szabályok!$B$13:$B$200,MATCH(H38,Szabályok!$A$13:$A$200,0)),""))</f>
        <v/>
      </c>
      <c r="J38" s="5">
        <f>IF(H38="","",IFERROR(INDEX(Szabályok!$C$13:$C$200,MATCH(H38,Szabályok!$A$13:$A$200,0)),""))</f>
        <v/>
      </c>
      <c r="K38" s="5">
        <f>IF(H38="","",IFERROR(INDEX(Szabályok!$D$13:$D$200,MATCH(H38,Szabályok!$A$13:$A$200,0)),""))</f>
        <v/>
      </c>
      <c r="L38" s="5">
        <f>IF(H38="","",IFERROR(INDEX(Szabályok!$E$13:$E$200,MATCH(H38,Szabályok!$A$13:$A$200,0)),""))</f>
        <v/>
      </c>
      <c r="M38" s="5">
        <f>IF(H38="","",IFERROR(INDEX(Szabályok!$F$13:$F$200,MATCH(H38,Szabályok!$A$13:$A$200,0)),""))</f>
        <v/>
      </c>
      <c r="N38" s="5">
        <f>IF(H38="","",IFERROR(INDEX(Szabályok!$G$13:$G$200,MATCH(H38,Szabályok!$A$13:$A$200,0)),""))</f>
        <v/>
      </c>
      <c r="O38" s="5">
        <f>IF(H38="","",IFERROR(INDEX(Szabályok!$H$13:$H$200,MATCH(H38,Szabályok!$A$13:$A$200,0)),""))</f>
        <v/>
      </c>
      <c r="P38" s="5" t="n"/>
      <c r="Q38" s="6" t="n"/>
      <c r="R38" s="6" t="n"/>
      <c r="S38" s="6">
        <f>IF(COUNT(Q38:R38)=0,"",SUM(Q38:R38))</f>
        <v/>
      </c>
      <c r="T38" s="6" t="n"/>
      <c r="U38" s="5">
        <f>IF(T38="","",IF(L38&lt;&gt;"IGEN","IGEN",IF(S38&gt;=T38,"IGEN","NEM")))</f>
        <v/>
      </c>
      <c r="V38" s="5" t="n"/>
      <c r="W38" s="5" t="n"/>
      <c r="X38" s="5" t="n"/>
      <c r="Y38" s="5" t="n"/>
      <c r="Z38" s="5">
        <f>IF(X38="","",IF(COUNTIFS($X$5:$X$304,X38,$I$5:$I$304,"&lt;"&amp;I38)=0,I38,""))</f>
        <v/>
      </c>
      <c r="AA38" s="5">
        <f>IF(X38="","",IF(COUNTIFS($X$5:$X$304,X38,$I$5:$I$304,"&lt;"&amp;I38)&gt;0,"NEM",IF(COUNTIFS($X$5:$X$304,X38,$I$5:$I$304,I38)=1,"IGEN",IF(Y38=1,"IGEN","NEM"))))</f>
        <v/>
      </c>
      <c r="AB38" s="5">
        <f>IF(OR(I38="",J38=""),"",IF(OR(I38=0,V38="IGEN",W38="IGEN"),"X",IF(AND(K38&lt;&gt;"IGEN",L38="IGEN",U38="NEM"),"X",IF(AA38="IGEN",J38,"X"))))</f>
        <v/>
      </c>
      <c r="AC38" s="5">
        <f>IF(AB38="X",0,IF(D38="","",D38))</f>
        <v/>
      </c>
      <c r="AD38" s="5">
        <f>IF(AB38="X",IF(D38="","",D38),0)</f>
        <v/>
      </c>
      <c r="AE38" s="6" t="n"/>
      <c r="AF38" s="6">
        <f>IF(E38="","",SUMIFS($AI$5:AI38,$E$5:E38,E38)-AI38)</f>
        <v/>
      </c>
      <c r="AG38" s="6">
        <f>IF(AE38="","",MAX(0,AE38-AF38))</f>
        <v/>
      </c>
      <c r="AH38" s="6">
        <f>IF(S38="","",IF(OR(I38=0,V38="IGEN",W38="IGEN"),0,IF(AND(K38&lt;&gt;"IGEN",L38="IGEN",U38="NEM"),0,S38)))</f>
        <v/>
      </c>
      <c r="AI38" s="6">
        <f>IF(AH38="","",IF(M38="IGEN",MIN(AH38,AG38),AH38))</f>
        <v/>
      </c>
      <c r="AJ38" s="5" t="n"/>
    </row>
    <row r="39">
      <c r="A39" s="5" t="n"/>
      <c r="B39" s="5" t="n"/>
      <c r="C39" s="5" t="n"/>
      <c r="D39" s="5">
        <f>IF(AND(B39&lt;&gt;"",C39&lt;&gt;""),C39-B39+1,"")</f>
        <v/>
      </c>
      <c r="E39" s="5">
        <f>IF(B39&lt;&gt;"",YEAR(B39),"")</f>
        <v/>
      </c>
      <c r="F39" s="6" t="n"/>
      <c r="G39" s="6" t="n"/>
      <c r="H39" s="6" t="n"/>
      <c r="I39" s="5">
        <f>IF(H39="","",IFERROR(INDEX(Szabályok!$B$13:$B$200,MATCH(H39,Szabályok!$A$13:$A$200,0)),""))</f>
        <v/>
      </c>
      <c r="J39" s="5">
        <f>IF(H39="","",IFERROR(INDEX(Szabályok!$C$13:$C$200,MATCH(H39,Szabályok!$A$13:$A$200,0)),""))</f>
        <v/>
      </c>
      <c r="K39" s="5">
        <f>IF(H39="","",IFERROR(INDEX(Szabályok!$D$13:$D$200,MATCH(H39,Szabályok!$A$13:$A$200,0)),""))</f>
        <v/>
      </c>
      <c r="L39" s="5">
        <f>IF(H39="","",IFERROR(INDEX(Szabályok!$E$13:$E$200,MATCH(H39,Szabályok!$A$13:$A$200,0)),""))</f>
        <v/>
      </c>
      <c r="M39" s="5">
        <f>IF(H39="","",IFERROR(INDEX(Szabályok!$F$13:$F$200,MATCH(H39,Szabályok!$A$13:$A$200,0)),""))</f>
        <v/>
      </c>
      <c r="N39" s="5">
        <f>IF(H39="","",IFERROR(INDEX(Szabályok!$G$13:$G$200,MATCH(H39,Szabályok!$A$13:$A$200,0)),""))</f>
        <v/>
      </c>
      <c r="O39" s="5">
        <f>IF(H39="","",IFERROR(INDEX(Szabályok!$H$13:$H$200,MATCH(H39,Szabályok!$A$13:$A$200,0)),""))</f>
        <v/>
      </c>
      <c r="P39" s="5" t="n"/>
      <c r="Q39" s="6" t="n"/>
      <c r="R39" s="6" t="n"/>
      <c r="S39" s="6">
        <f>IF(COUNT(Q39:R39)=0,"",SUM(Q39:R39))</f>
        <v/>
      </c>
      <c r="T39" s="6" t="n"/>
      <c r="U39" s="5">
        <f>IF(T39="","",IF(L39&lt;&gt;"IGEN","IGEN",IF(S39&gt;=T39,"IGEN","NEM")))</f>
        <v/>
      </c>
      <c r="V39" s="5" t="n"/>
      <c r="W39" s="5" t="n"/>
      <c r="X39" s="5" t="n"/>
      <c r="Y39" s="5" t="n"/>
      <c r="Z39" s="5">
        <f>IF(X39="","",IF(COUNTIFS($X$5:$X$304,X39,$I$5:$I$304,"&lt;"&amp;I39)=0,I39,""))</f>
        <v/>
      </c>
      <c r="AA39" s="5">
        <f>IF(X39="","",IF(COUNTIFS($X$5:$X$304,X39,$I$5:$I$304,"&lt;"&amp;I39)&gt;0,"NEM",IF(COUNTIFS($X$5:$X$304,X39,$I$5:$I$304,I39)=1,"IGEN",IF(Y39=1,"IGEN","NEM"))))</f>
        <v/>
      </c>
      <c r="AB39" s="5">
        <f>IF(OR(I39="",J39=""),"",IF(OR(I39=0,V39="IGEN",W39="IGEN"),"X",IF(AND(K39&lt;&gt;"IGEN",L39="IGEN",U39="NEM"),"X",IF(AA39="IGEN",J39,"X"))))</f>
        <v/>
      </c>
      <c r="AC39" s="5">
        <f>IF(AB39="X",0,IF(D39="","",D39))</f>
        <v/>
      </c>
      <c r="AD39" s="5">
        <f>IF(AB39="X",IF(D39="","",D39),0)</f>
        <v/>
      </c>
      <c r="AE39" s="6" t="n"/>
      <c r="AF39" s="6">
        <f>IF(E39="","",SUMIFS($AI$5:AI39,$E$5:E39,E39)-AI39)</f>
        <v/>
      </c>
      <c r="AG39" s="6">
        <f>IF(AE39="","",MAX(0,AE39-AF39))</f>
        <v/>
      </c>
      <c r="AH39" s="6">
        <f>IF(S39="","",IF(OR(I39=0,V39="IGEN",W39="IGEN"),0,IF(AND(K39&lt;&gt;"IGEN",L39="IGEN",U39="NEM"),0,S39)))</f>
        <v/>
      </c>
      <c r="AI39" s="6">
        <f>IF(AH39="","",IF(M39="IGEN",MIN(AH39,AG39),AH39))</f>
        <v/>
      </c>
      <c r="AJ39" s="5" t="n"/>
    </row>
    <row r="40">
      <c r="A40" s="5" t="n"/>
      <c r="B40" s="5" t="n"/>
      <c r="C40" s="5" t="n"/>
      <c r="D40" s="5">
        <f>IF(AND(B40&lt;&gt;"",C40&lt;&gt;""),C40-B40+1,"")</f>
        <v/>
      </c>
      <c r="E40" s="5">
        <f>IF(B40&lt;&gt;"",YEAR(B40),"")</f>
        <v/>
      </c>
      <c r="F40" s="6" t="n"/>
      <c r="G40" s="6" t="n"/>
      <c r="H40" s="6" t="n"/>
      <c r="I40" s="5">
        <f>IF(H40="","",IFERROR(INDEX(Szabályok!$B$13:$B$200,MATCH(H40,Szabályok!$A$13:$A$200,0)),""))</f>
        <v/>
      </c>
      <c r="J40" s="5">
        <f>IF(H40="","",IFERROR(INDEX(Szabályok!$C$13:$C$200,MATCH(H40,Szabályok!$A$13:$A$200,0)),""))</f>
        <v/>
      </c>
      <c r="K40" s="5">
        <f>IF(H40="","",IFERROR(INDEX(Szabályok!$D$13:$D$200,MATCH(H40,Szabályok!$A$13:$A$200,0)),""))</f>
        <v/>
      </c>
      <c r="L40" s="5">
        <f>IF(H40="","",IFERROR(INDEX(Szabályok!$E$13:$E$200,MATCH(H40,Szabályok!$A$13:$A$200,0)),""))</f>
        <v/>
      </c>
      <c r="M40" s="5">
        <f>IF(H40="","",IFERROR(INDEX(Szabályok!$F$13:$F$200,MATCH(H40,Szabályok!$A$13:$A$200,0)),""))</f>
        <v/>
      </c>
      <c r="N40" s="5">
        <f>IF(H40="","",IFERROR(INDEX(Szabályok!$G$13:$G$200,MATCH(H40,Szabályok!$A$13:$A$200,0)),""))</f>
        <v/>
      </c>
      <c r="O40" s="5">
        <f>IF(H40="","",IFERROR(INDEX(Szabályok!$H$13:$H$200,MATCH(H40,Szabályok!$A$13:$A$200,0)),""))</f>
        <v/>
      </c>
      <c r="P40" s="5" t="n"/>
      <c r="Q40" s="6" t="n"/>
      <c r="R40" s="6" t="n"/>
      <c r="S40" s="6">
        <f>IF(COUNT(Q40:R40)=0,"",SUM(Q40:R40))</f>
        <v/>
      </c>
      <c r="T40" s="6" t="n"/>
      <c r="U40" s="5">
        <f>IF(T40="","",IF(L40&lt;&gt;"IGEN","IGEN",IF(S40&gt;=T40,"IGEN","NEM")))</f>
        <v/>
      </c>
      <c r="V40" s="5" t="n"/>
      <c r="W40" s="5" t="n"/>
      <c r="X40" s="5" t="n"/>
      <c r="Y40" s="5" t="n"/>
      <c r="Z40" s="5">
        <f>IF(X40="","",IF(COUNTIFS($X$5:$X$304,X40,$I$5:$I$304,"&lt;"&amp;I40)=0,I40,""))</f>
        <v/>
      </c>
      <c r="AA40" s="5">
        <f>IF(X40="","",IF(COUNTIFS($X$5:$X$304,X40,$I$5:$I$304,"&lt;"&amp;I40)&gt;0,"NEM",IF(COUNTIFS($X$5:$X$304,X40,$I$5:$I$304,I40)=1,"IGEN",IF(Y40=1,"IGEN","NEM"))))</f>
        <v/>
      </c>
      <c r="AB40" s="5">
        <f>IF(OR(I40="",J40=""),"",IF(OR(I40=0,V40="IGEN",W40="IGEN"),"X",IF(AND(K40&lt;&gt;"IGEN",L40="IGEN",U40="NEM"),"X",IF(AA40="IGEN",J40,"X"))))</f>
        <v/>
      </c>
      <c r="AC40" s="5">
        <f>IF(AB40="X",0,IF(D40="","",D40))</f>
        <v/>
      </c>
      <c r="AD40" s="5">
        <f>IF(AB40="X",IF(D40="","",D40),0)</f>
        <v/>
      </c>
      <c r="AE40" s="6" t="n"/>
      <c r="AF40" s="6">
        <f>IF(E40="","",SUMIFS($AI$5:AI40,$E$5:E40,E40)-AI40)</f>
        <v/>
      </c>
      <c r="AG40" s="6">
        <f>IF(AE40="","",MAX(0,AE40-AF40))</f>
        <v/>
      </c>
      <c r="AH40" s="6">
        <f>IF(S40="","",IF(OR(I40=0,V40="IGEN",W40="IGEN"),0,IF(AND(K40&lt;&gt;"IGEN",L40="IGEN",U40="NEM"),0,S40)))</f>
        <v/>
      </c>
      <c r="AI40" s="6">
        <f>IF(AH40="","",IF(M40="IGEN",MIN(AH40,AG40),AH40))</f>
        <v/>
      </c>
      <c r="AJ40" s="5" t="n"/>
    </row>
    <row r="41">
      <c r="A41" s="5" t="n"/>
      <c r="B41" s="5" t="n"/>
      <c r="C41" s="5" t="n"/>
      <c r="D41" s="5">
        <f>IF(AND(B41&lt;&gt;"",C41&lt;&gt;""),C41-B41+1,"")</f>
        <v/>
      </c>
      <c r="E41" s="5">
        <f>IF(B41&lt;&gt;"",YEAR(B41),"")</f>
        <v/>
      </c>
      <c r="F41" s="6" t="n"/>
      <c r="G41" s="6" t="n"/>
      <c r="H41" s="6" t="n"/>
      <c r="I41" s="5">
        <f>IF(H41="","",IFERROR(INDEX(Szabályok!$B$13:$B$200,MATCH(H41,Szabályok!$A$13:$A$200,0)),""))</f>
        <v/>
      </c>
      <c r="J41" s="5">
        <f>IF(H41="","",IFERROR(INDEX(Szabályok!$C$13:$C$200,MATCH(H41,Szabályok!$A$13:$A$200,0)),""))</f>
        <v/>
      </c>
      <c r="K41" s="5">
        <f>IF(H41="","",IFERROR(INDEX(Szabályok!$D$13:$D$200,MATCH(H41,Szabályok!$A$13:$A$200,0)),""))</f>
        <v/>
      </c>
      <c r="L41" s="5">
        <f>IF(H41="","",IFERROR(INDEX(Szabályok!$E$13:$E$200,MATCH(H41,Szabályok!$A$13:$A$200,0)),""))</f>
        <v/>
      </c>
      <c r="M41" s="5">
        <f>IF(H41="","",IFERROR(INDEX(Szabályok!$F$13:$F$200,MATCH(H41,Szabályok!$A$13:$A$200,0)),""))</f>
        <v/>
      </c>
      <c r="N41" s="5">
        <f>IF(H41="","",IFERROR(INDEX(Szabályok!$G$13:$G$200,MATCH(H41,Szabályok!$A$13:$A$200,0)),""))</f>
        <v/>
      </c>
      <c r="O41" s="5">
        <f>IF(H41="","",IFERROR(INDEX(Szabályok!$H$13:$H$200,MATCH(H41,Szabályok!$A$13:$A$200,0)),""))</f>
        <v/>
      </c>
      <c r="P41" s="5" t="n"/>
      <c r="Q41" s="6" t="n"/>
      <c r="R41" s="6" t="n"/>
      <c r="S41" s="6">
        <f>IF(COUNT(Q41:R41)=0,"",SUM(Q41:R41))</f>
        <v/>
      </c>
      <c r="T41" s="6" t="n"/>
      <c r="U41" s="5">
        <f>IF(T41="","",IF(L41&lt;&gt;"IGEN","IGEN",IF(S41&gt;=T41,"IGEN","NEM")))</f>
        <v/>
      </c>
      <c r="V41" s="5" t="n"/>
      <c r="W41" s="5" t="n"/>
      <c r="X41" s="5" t="n"/>
      <c r="Y41" s="5" t="n"/>
      <c r="Z41" s="5">
        <f>IF(X41="","",IF(COUNTIFS($X$5:$X$304,X41,$I$5:$I$304,"&lt;"&amp;I41)=0,I41,""))</f>
        <v/>
      </c>
      <c r="AA41" s="5">
        <f>IF(X41="","",IF(COUNTIFS($X$5:$X$304,X41,$I$5:$I$304,"&lt;"&amp;I41)&gt;0,"NEM",IF(COUNTIFS($X$5:$X$304,X41,$I$5:$I$304,I41)=1,"IGEN",IF(Y41=1,"IGEN","NEM"))))</f>
        <v/>
      </c>
      <c r="AB41" s="5">
        <f>IF(OR(I41="",J41=""),"",IF(OR(I41=0,V41="IGEN",W41="IGEN"),"X",IF(AND(K41&lt;&gt;"IGEN",L41="IGEN",U41="NEM"),"X",IF(AA41="IGEN",J41,"X"))))</f>
        <v/>
      </c>
      <c r="AC41" s="5">
        <f>IF(AB41="X",0,IF(D41="","",D41))</f>
        <v/>
      </c>
      <c r="AD41" s="5">
        <f>IF(AB41="X",IF(D41="","",D41),0)</f>
        <v/>
      </c>
      <c r="AE41" s="6" t="n"/>
      <c r="AF41" s="6">
        <f>IF(E41="","",SUMIFS($AI$5:AI41,$E$5:E41,E41)-AI41)</f>
        <v/>
      </c>
      <c r="AG41" s="6">
        <f>IF(AE41="","",MAX(0,AE41-AF41))</f>
        <v/>
      </c>
      <c r="AH41" s="6">
        <f>IF(S41="","",IF(OR(I41=0,V41="IGEN",W41="IGEN"),0,IF(AND(K41&lt;&gt;"IGEN",L41="IGEN",U41="NEM"),0,S41)))</f>
        <v/>
      </c>
      <c r="AI41" s="6">
        <f>IF(AH41="","",IF(M41="IGEN",MIN(AH41,AG41),AH41))</f>
        <v/>
      </c>
      <c r="AJ41" s="5" t="n"/>
    </row>
    <row r="42">
      <c r="A42" s="5" t="n"/>
      <c r="B42" s="5" t="n"/>
      <c r="C42" s="5" t="n"/>
      <c r="D42" s="5">
        <f>IF(AND(B42&lt;&gt;"",C42&lt;&gt;""),C42-B42+1,"")</f>
        <v/>
      </c>
      <c r="E42" s="5">
        <f>IF(B42&lt;&gt;"",YEAR(B42),"")</f>
        <v/>
      </c>
      <c r="F42" s="6" t="n"/>
      <c r="G42" s="6" t="n"/>
      <c r="H42" s="6" t="n"/>
      <c r="I42" s="5">
        <f>IF(H42="","",IFERROR(INDEX(Szabályok!$B$13:$B$200,MATCH(H42,Szabályok!$A$13:$A$200,0)),""))</f>
        <v/>
      </c>
      <c r="J42" s="5">
        <f>IF(H42="","",IFERROR(INDEX(Szabályok!$C$13:$C$200,MATCH(H42,Szabályok!$A$13:$A$200,0)),""))</f>
        <v/>
      </c>
      <c r="K42" s="5">
        <f>IF(H42="","",IFERROR(INDEX(Szabályok!$D$13:$D$200,MATCH(H42,Szabályok!$A$13:$A$200,0)),""))</f>
        <v/>
      </c>
      <c r="L42" s="5">
        <f>IF(H42="","",IFERROR(INDEX(Szabályok!$E$13:$E$200,MATCH(H42,Szabályok!$A$13:$A$200,0)),""))</f>
        <v/>
      </c>
      <c r="M42" s="5">
        <f>IF(H42="","",IFERROR(INDEX(Szabályok!$F$13:$F$200,MATCH(H42,Szabályok!$A$13:$A$200,0)),""))</f>
        <v/>
      </c>
      <c r="N42" s="5">
        <f>IF(H42="","",IFERROR(INDEX(Szabályok!$G$13:$G$200,MATCH(H42,Szabályok!$A$13:$A$200,0)),""))</f>
        <v/>
      </c>
      <c r="O42" s="5">
        <f>IF(H42="","",IFERROR(INDEX(Szabályok!$H$13:$H$200,MATCH(H42,Szabályok!$A$13:$A$200,0)),""))</f>
        <v/>
      </c>
      <c r="P42" s="5" t="n"/>
      <c r="Q42" s="6" t="n"/>
      <c r="R42" s="6" t="n"/>
      <c r="S42" s="6">
        <f>IF(COUNT(Q42:R42)=0,"",SUM(Q42:R42))</f>
        <v/>
      </c>
      <c r="T42" s="6" t="n"/>
      <c r="U42" s="5">
        <f>IF(T42="","",IF(L42&lt;&gt;"IGEN","IGEN",IF(S42&gt;=T42,"IGEN","NEM")))</f>
        <v/>
      </c>
      <c r="V42" s="5" t="n"/>
      <c r="W42" s="5" t="n"/>
      <c r="X42" s="5" t="n"/>
      <c r="Y42" s="5" t="n"/>
      <c r="Z42" s="5">
        <f>IF(X42="","",IF(COUNTIFS($X$5:$X$304,X42,$I$5:$I$304,"&lt;"&amp;I42)=0,I42,""))</f>
        <v/>
      </c>
      <c r="AA42" s="5">
        <f>IF(X42="","",IF(COUNTIFS($X$5:$X$304,X42,$I$5:$I$304,"&lt;"&amp;I42)&gt;0,"NEM",IF(COUNTIFS($X$5:$X$304,X42,$I$5:$I$304,I42)=1,"IGEN",IF(Y42=1,"IGEN","NEM"))))</f>
        <v/>
      </c>
      <c r="AB42" s="5">
        <f>IF(OR(I42="",J42=""),"",IF(OR(I42=0,V42="IGEN",W42="IGEN"),"X",IF(AND(K42&lt;&gt;"IGEN",L42="IGEN",U42="NEM"),"X",IF(AA42="IGEN",J42,"X"))))</f>
        <v/>
      </c>
      <c r="AC42" s="5">
        <f>IF(AB42="X",0,IF(D42="","",D42))</f>
        <v/>
      </c>
      <c r="AD42" s="5">
        <f>IF(AB42="X",IF(D42="","",D42),0)</f>
        <v/>
      </c>
      <c r="AE42" s="6" t="n"/>
      <c r="AF42" s="6">
        <f>IF(E42="","",SUMIFS($AI$5:AI42,$E$5:E42,E42)-AI42)</f>
        <v/>
      </c>
      <c r="AG42" s="6">
        <f>IF(AE42="","",MAX(0,AE42-AF42))</f>
        <v/>
      </c>
      <c r="AH42" s="6">
        <f>IF(S42="","",IF(OR(I42=0,V42="IGEN",W42="IGEN"),0,IF(AND(K42&lt;&gt;"IGEN",L42="IGEN",U42="NEM"),0,S42)))</f>
        <v/>
      </c>
      <c r="AI42" s="6">
        <f>IF(AH42="","",IF(M42="IGEN",MIN(AH42,AG42),AH42))</f>
        <v/>
      </c>
      <c r="AJ42" s="5" t="n"/>
    </row>
    <row r="43">
      <c r="A43" s="5" t="n"/>
      <c r="B43" s="5" t="n"/>
      <c r="C43" s="5" t="n"/>
      <c r="D43" s="5">
        <f>IF(AND(B43&lt;&gt;"",C43&lt;&gt;""),C43-B43+1,"")</f>
        <v/>
      </c>
      <c r="E43" s="5">
        <f>IF(B43&lt;&gt;"",YEAR(B43),"")</f>
        <v/>
      </c>
      <c r="F43" s="6" t="n"/>
      <c r="G43" s="6" t="n"/>
      <c r="H43" s="6" t="n"/>
      <c r="I43" s="5">
        <f>IF(H43="","",IFERROR(INDEX(Szabályok!$B$13:$B$200,MATCH(H43,Szabályok!$A$13:$A$200,0)),""))</f>
        <v/>
      </c>
      <c r="J43" s="5">
        <f>IF(H43="","",IFERROR(INDEX(Szabályok!$C$13:$C$200,MATCH(H43,Szabályok!$A$13:$A$200,0)),""))</f>
        <v/>
      </c>
      <c r="K43" s="5">
        <f>IF(H43="","",IFERROR(INDEX(Szabályok!$D$13:$D$200,MATCH(H43,Szabályok!$A$13:$A$200,0)),""))</f>
        <v/>
      </c>
      <c r="L43" s="5">
        <f>IF(H43="","",IFERROR(INDEX(Szabályok!$E$13:$E$200,MATCH(H43,Szabályok!$A$13:$A$200,0)),""))</f>
        <v/>
      </c>
      <c r="M43" s="5">
        <f>IF(H43="","",IFERROR(INDEX(Szabályok!$F$13:$F$200,MATCH(H43,Szabályok!$A$13:$A$200,0)),""))</f>
        <v/>
      </c>
      <c r="N43" s="5">
        <f>IF(H43="","",IFERROR(INDEX(Szabályok!$G$13:$G$200,MATCH(H43,Szabályok!$A$13:$A$200,0)),""))</f>
        <v/>
      </c>
      <c r="O43" s="5">
        <f>IF(H43="","",IFERROR(INDEX(Szabályok!$H$13:$H$200,MATCH(H43,Szabályok!$A$13:$A$200,0)),""))</f>
        <v/>
      </c>
      <c r="P43" s="5" t="n"/>
      <c r="Q43" s="6" t="n"/>
      <c r="R43" s="6" t="n"/>
      <c r="S43" s="6">
        <f>IF(COUNT(Q43:R43)=0,"",SUM(Q43:R43))</f>
        <v/>
      </c>
      <c r="T43" s="6" t="n"/>
      <c r="U43" s="5">
        <f>IF(T43="","",IF(L43&lt;&gt;"IGEN","IGEN",IF(S43&gt;=T43,"IGEN","NEM")))</f>
        <v/>
      </c>
      <c r="V43" s="5" t="n"/>
      <c r="W43" s="5" t="n"/>
      <c r="X43" s="5" t="n"/>
      <c r="Y43" s="5" t="n"/>
      <c r="Z43" s="5">
        <f>IF(X43="","",IF(COUNTIFS($X$5:$X$304,X43,$I$5:$I$304,"&lt;"&amp;I43)=0,I43,""))</f>
        <v/>
      </c>
      <c r="AA43" s="5">
        <f>IF(X43="","",IF(COUNTIFS($X$5:$X$304,X43,$I$5:$I$304,"&lt;"&amp;I43)&gt;0,"NEM",IF(COUNTIFS($X$5:$X$304,X43,$I$5:$I$304,I43)=1,"IGEN",IF(Y43=1,"IGEN","NEM"))))</f>
        <v/>
      </c>
      <c r="AB43" s="5">
        <f>IF(OR(I43="",J43=""),"",IF(OR(I43=0,V43="IGEN",W43="IGEN"),"X",IF(AND(K43&lt;&gt;"IGEN",L43="IGEN",U43="NEM"),"X",IF(AA43="IGEN",J43,"X"))))</f>
        <v/>
      </c>
      <c r="AC43" s="5">
        <f>IF(AB43="X",0,IF(D43="","",D43))</f>
        <v/>
      </c>
      <c r="AD43" s="5">
        <f>IF(AB43="X",IF(D43="","",D43),0)</f>
        <v/>
      </c>
      <c r="AE43" s="6" t="n"/>
      <c r="AF43" s="6">
        <f>IF(E43="","",SUMIFS($AI$5:AI43,$E$5:E43,E43)-AI43)</f>
        <v/>
      </c>
      <c r="AG43" s="6">
        <f>IF(AE43="","",MAX(0,AE43-AF43))</f>
        <v/>
      </c>
      <c r="AH43" s="6">
        <f>IF(S43="","",IF(OR(I43=0,V43="IGEN",W43="IGEN"),0,IF(AND(K43&lt;&gt;"IGEN",L43="IGEN",U43="NEM"),0,S43)))</f>
        <v/>
      </c>
      <c r="AI43" s="6">
        <f>IF(AH43="","",IF(M43="IGEN",MIN(AH43,AG43),AH43))</f>
        <v/>
      </c>
      <c r="AJ43" s="5" t="n"/>
    </row>
    <row r="44">
      <c r="A44" s="5" t="n"/>
      <c r="B44" s="5" t="n"/>
      <c r="C44" s="5" t="n"/>
      <c r="D44" s="5">
        <f>IF(AND(B44&lt;&gt;"",C44&lt;&gt;""),C44-B44+1,"")</f>
        <v/>
      </c>
      <c r="E44" s="5">
        <f>IF(B44&lt;&gt;"",YEAR(B44),"")</f>
        <v/>
      </c>
      <c r="F44" s="6" t="n"/>
      <c r="G44" s="6" t="n"/>
      <c r="H44" s="6" t="n"/>
      <c r="I44" s="5">
        <f>IF(H44="","",IFERROR(INDEX(Szabályok!$B$13:$B$200,MATCH(H44,Szabályok!$A$13:$A$200,0)),""))</f>
        <v/>
      </c>
      <c r="J44" s="5">
        <f>IF(H44="","",IFERROR(INDEX(Szabályok!$C$13:$C$200,MATCH(H44,Szabályok!$A$13:$A$200,0)),""))</f>
        <v/>
      </c>
      <c r="K44" s="5">
        <f>IF(H44="","",IFERROR(INDEX(Szabályok!$D$13:$D$200,MATCH(H44,Szabályok!$A$13:$A$200,0)),""))</f>
        <v/>
      </c>
      <c r="L44" s="5">
        <f>IF(H44="","",IFERROR(INDEX(Szabályok!$E$13:$E$200,MATCH(H44,Szabályok!$A$13:$A$200,0)),""))</f>
        <v/>
      </c>
      <c r="M44" s="5">
        <f>IF(H44="","",IFERROR(INDEX(Szabályok!$F$13:$F$200,MATCH(H44,Szabályok!$A$13:$A$200,0)),""))</f>
        <v/>
      </c>
      <c r="N44" s="5">
        <f>IF(H44="","",IFERROR(INDEX(Szabályok!$G$13:$G$200,MATCH(H44,Szabályok!$A$13:$A$200,0)),""))</f>
        <v/>
      </c>
      <c r="O44" s="5">
        <f>IF(H44="","",IFERROR(INDEX(Szabályok!$H$13:$H$200,MATCH(H44,Szabályok!$A$13:$A$200,0)),""))</f>
        <v/>
      </c>
      <c r="P44" s="5" t="n"/>
      <c r="Q44" s="6" t="n"/>
      <c r="R44" s="6" t="n"/>
      <c r="S44" s="6">
        <f>IF(COUNT(Q44:R44)=0,"",SUM(Q44:R44))</f>
        <v/>
      </c>
      <c r="T44" s="6" t="n"/>
      <c r="U44" s="5">
        <f>IF(T44="","",IF(L44&lt;&gt;"IGEN","IGEN",IF(S44&gt;=T44,"IGEN","NEM")))</f>
        <v/>
      </c>
      <c r="V44" s="5" t="n"/>
      <c r="W44" s="5" t="n"/>
      <c r="X44" s="5" t="n"/>
      <c r="Y44" s="5" t="n"/>
      <c r="Z44" s="5">
        <f>IF(X44="","",IF(COUNTIFS($X$5:$X$304,X44,$I$5:$I$304,"&lt;"&amp;I44)=0,I44,""))</f>
        <v/>
      </c>
      <c r="AA44" s="5">
        <f>IF(X44="","",IF(COUNTIFS($X$5:$X$304,X44,$I$5:$I$304,"&lt;"&amp;I44)&gt;0,"NEM",IF(COUNTIFS($X$5:$X$304,X44,$I$5:$I$304,I44)=1,"IGEN",IF(Y44=1,"IGEN","NEM"))))</f>
        <v/>
      </c>
      <c r="AB44" s="5">
        <f>IF(OR(I44="",J44=""),"",IF(OR(I44=0,V44="IGEN",W44="IGEN"),"X",IF(AND(K44&lt;&gt;"IGEN",L44="IGEN",U44="NEM"),"X",IF(AA44="IGEN",J44,"X"))))</f>
        <v/>
      </c>
      <c r="AC44" s="5">
        <f>IF(AB44="X",0,IF(D44="","",D44))</f>
        <v/>
      </c>
      <c r="AD44" s="5">
        <f>IF(AB44="X",IF(D44="","",D44),0)</f>
        <v/>
      </c>
      <c r="AE44" s="6" t="n"/>
      <c r="AF44" s="6">
        <f>IF(E44="","",SUMIFS($AI$5:AI44,$E$5:E44,E44)-AI44)</f>
        <v/>
      </c>
      <c r="AG44" s="6">
        <f>IF(AE44="","",MAX(0,AE44-AF44))</f>
        <v/>
      </c>
      <c r="AH44" s="6">
        <f>IF(S44="","",IF(OR(I44=0,V44="IGEN",W44="IGEN"),0,IF(AND(K44&lt;&gt;"IGEN",L44="IGEN",U44="NEM"),0,S44)))</f>
        <v/>
      </c>
      <c r="AI44" s="6">
        <f>IF(AH44="","",IF(M44="IGEN",MIN(AH44,AG44),AH44))</f>
        <v/>
      </c>
      <c r="AJ44" s="5" t="n"/>
    </row>
    <row r="45">
      <c r="A45" s="5" t="n"/>
      <c r="B45" s="5" t="n"/>
      <c r="C45" s="5" t="n"/>
      <c r="D45" s="5">
        <f>IF(AND(B45&lt;&gt;"",C45&lt;&gt;""),C45-B45+1,"")</f>
        <v/>
      </c>
      <c r="E45" s="5">
        <f>IF(B45&lt;&gt;"",YEAR(B45),"")</f>
        <v/>
      </c>
      <c r="F45" s="6" t="n"/>
      <c r="G45" s="6" t="n"/>
      <c r="H45" s="6" t="n"/>
      <c r="I45" s="5">
        <f>IF(H45="","",IFERROR(INDEX(Szabályok!$B$13:$B$200,MATCH(H45,Szabályok!$A$13:$A$200,0)),""))</f>
        <v/>
      </c>
      <c r="J45" s="5">
        <f>IF(H45="","",IFERROR(INDEX(Szabályok!$C$13:$C$200,MATCH(H45,Szabályok!$A$13:$A$200,0)),""))</f>
        <v/>
      </c>
      <c r="K45" s="5">
        <f>IF(H45="","",IFERROR(INDEX(Szabályok!$D$13:$D$200,MATCH(H45,Szabályok!$A$13:$A$200,0)),""))</f>
        <v/>
      </c>
      <c r="L45" s="5">
        <f>IF(H45="","",IFERROR(INDEX(Szabályok!$E$13:$E$200,MATCH(H45,Szabályok!$A$13:$A$200,0)),""))</f>
        <v/>
      </c>
      <c r="M45" s="5">
        <f>IF(H45="","",IFERROR(INDEX(Szabályok!$F$13:$F$200,MATCH(H45,Szabályok!$A$13:$A$200,0)),""))</f>
        <v/>
      </c>
      <c r="N45" s="5">
        <f>IF(H45="","",IFERROR(INDEX(Szabályok!$G$13:$G$200,MATCH(H45,Szabályok!$A$13:$A$200,0)),""))</f>
        <v/>
      </c>
      <c r="O45" s="5">
        <f>IF(H45="","",IFERROR(INDEX(Szabályok!$H$13:$H$200,MATCH(H45,Szabályok!$A$13:$A$200,0)),""))</f>
        <v/>
      </c>
      <c r="P45" s="5" t="n"/>
      <c r="Q45" s="6" t="n"/>
      <c r="R45" s="6" t="n"/>
      <c r="S45" s="6">
        <f>IF(COUNT(Q45:R45)=0,"",SUM(Q45:R45))</f>
        <v/>
      </c>
      <c r="T45" s="6" t="n"/>
      <c r="U45" s="5">
        <f>IF(T45="","",IF(L45&lt;&gt;"IGEN","IGEN",IF(S45&gt;=T45,"IGEN","NEM")))</f>
        <v/>
      </c>
      <c r="V45" s="5" t="n"/>
      <c r="W45" s="5" t="n"/>
      <c r="X45" s="5" t="n"/>
      <c r="Y45" s="5" t="n"/>
      <c r="Z45" s="5">
        <f>IF(X45="","",IF(COUNTIFS($X$5:$X$304,X45,$I$5:$I$304,"&lt;"&amp;I45)=0,I45,""))</f>
        <v/>
      </c>
      <c r="AA45" s="5">
        <f>IF(X45="","",IF(COUNTIFS($X$5:$X$304,X45,$I$5:$I$304,"&lt;"&amp;I45)&gt;0,"NEM",IF(COUNTIFS($X$5:$X$304,X45,$I$5:$I$304,I45)=1,"IGEN",IF(Y45=1,"IGEN","NEM"))))</f>
        <v/>
      </c>
      <c r="AB45" s="5">
        <f>IF(OR(I45="",J45=""),"",IF(OR(I45=0,V45="IGEN",W45="IGEN"),"X",IF(AND(K45&lt;&gt;"IGEN",L45="IGEN",U45="NEM"),"X",IF(AA45="IGEN",J45,"X"))))</f>
        <v/>
      </c>
      <c r="AC45" s="5">
        <f>IF(AB45="X",0,IF(D45="","",D45))</f>
        <v/>
      </c>
      <c r="AD45" s="5">
        <f>IF(AB45="X",IF(D45="","",D45),0)</f>
        <v/>
      </c>
      <c r="AE45" s="6" t="n"/>
      <c r="AF45" s="6">
        <f>IF(E45="","",SUMIFS($AI$5:AI45,$E$5:E45,E45)-AI45)</f>
        <v/>
      </c>
      <c r="AG45" s="6">
        <f>IF(AE45="","",MAX(0,AE45-AF45))</f>
        <v/>
      </c>
      <c r="AH45" s="6">
        <f>IF(S45="","",IF(OR(I45=0,V45="IGEN",W45="IGEN"),0,IF(AND(K45&lt;&gt;"IGEN",L45="IGEN",U45="NEM"),0,S45)))</f>
        <v/>
      </c>
      <c r="AI45" s="6">
        <f>IF(AH45="","",IF(M45="IGEN",MIN(AH45,AG45),AH45))</f>
        <v/>
      </c>
      <c r="AJ45" s="5" t="n"/>
    </row>
    <row r="46">
      <c r="A46" s="5" t="n"/>
      <c r="B46" s="5" t="n"/>
      <c r="C46" s="5" t="n"/>
      <c r="D46" s="5">
        <f>IF(AND(B46&lt;&gt;"",C46&lt;&gt;""),C46-B46+1,"")</f>
        <v/>
      </c>
      <c r="E46" s="5">
        <f>IF(B46&lt;&gt;"",YEAR(B46),"")</f>
        <v/>
      </c>
      <c r="F46" s="6" t="n"/>
      <c r="G46" s="6" t="n"/>
      <c r="H46" s="6" t="n"/>
      <c r="I46" s="5">
        <f>IF(H46="","",IFERROR(INDEX(Szabályok!$B$13:$B$200,MATCH(H46,Szabályok!$A$13:$A$200,0)),""))</f>
        <v/>
      </c>
      <c r="J46" s="5">
        <f>IF(H46="","",IFERROR(INDEX(Szabályok!$C$13:$C$200,MATCH(H46,Szabályok!$A$13:$A$200,0)),""))</f>
        <v/>
      </c>
      <c r="K46" s="5">
        <f>IF(H46="","",IFERROR(INDEX(Szabályok!$D$13:$D$200,MATCH(H46,Szabályok!$A$13:$A$200,0)),""))</f>
        <v/>
      </c>
      <c r="L46" s="5">
        <f>IF(H46="","",IFERROR(INDEX(Szabályok!$E$13:$E$200,MATCH(H46,Szabályok!$A$13:$A$200,0)),""))</f>
        <v/>
      </c>
      <c r="M46" s="5">
        <f>IF(H46="","",IFERROR(INDEX(Szabályok!$F$13:$F$200,MATCH(H46,Szabályok!$A$13:$A$200,0)),""))</f>
        <v/>
      </c>
      <c r="N46" s="5">
        <f>IF(H46="","",IFERROR(INDEX(Szabályok!$G$13:$G$200,MATCH(H46,Szabályok!$A$13:$A$200,0)),""))</f>
        <v/>
      </c>
      <c r="O46" s="5">
        <f>IF(H46="","",IFERROR(INDEX(Szabályok!$H$13:$H$200,MATCH(H46,Szabályok!$A$13:$A$200,0)),""))</f>
        <v/>
      </c>
      <c r="P46" s="5" t="n"/>
      <c r="Q46" s="6" t="n"/>
      <c r="R46" s="6" t="n"/>
      <c r="S46" s="6">
        <f>IF(COUNT(Q46:R46)=0,"",SUM(Q46:R46))</f>
        <v/>
      </c>
      <c r="T46" s="6" t="n"/>
      <c r="U46" s="5">
        <f>IF(T46="","",IF(L46&lt;&gt;"IGEN","IGEN",IF(S46&gt;=T46,"IGEN","NEM")))</f>
        <v/>
      </c>
      <c r="V46" s="5" t="n"/>
      <c r="W46" s="5" t="n"/>
      <c r="X46" s="5" t="n"/>
      <c r="Y46" s="5" t="n"/>
      <c r="Z46" s="5">
        <f>IF(X46="","",IF(COUNTIFS($X$5:$X$304,X46,$I$5:$I$304,"&lt;"&amp;I46)=0,I46,""))</f>
        <v/>
      </c>
      <c r="AA46" s="5">
        <f>IF(X46="","",IF(COUNTIFS($X$5:$X$304,X46,$I$5:$I$304,"&lt;"&amp;I46)&gt;0,"NEM",IF(COUNTIFS($X$5:$X$304,X46,$I$5:$I$304,I46)=1,"IGEN",IF(Y46=1,"IGEN","NEM"))))</f>
        <v/>
      </c>
      <c r="AB46" s="5">
        <f>IF(OR(I46="",J46=""),"",IF(OR(I46=0,V46="IGEN",W46="IGEN"),"X",IF(AND(K46&lt;&gt;"IGEN",L46="IGEN",U46="NEM"),"X",IF(AA46="IGEN",J46,"X"))))</f>
        <v/>
      </c>
      <c r="AC46" s="5">
        <f>IF(AB46="X",0,IF(D46="","",D46))</f>
        <v/>
      </c>
      <c r="AD46" s="5">
        <f>IF(AB46="X",IF(D46="","",D46),0)</f>
        <v/>
      </c>
      <c r="AE46" s="6" t="n"/>
      <c r="AF46" s="6">
        <f>IF(E46="","",SUMIFS($AI$5:AI46,$E$5:E46,E46)-AI46)</f>
        <v/>
      </c>
      <c r="AG46" s="6">
        <f>IF(AE46="","",MAX(0,AE46-AF46))</f>
        <v/>
      </c>
      <c r="AH46" s="6">
        <f>IF(S46="","",IF(OR(I46=0,V46="IGEN",W46="IGEN"),0,IF(AND(K46&lt;&gt;"IGEN",L46="IGEN",U46="NEM"),0,S46)))</f>
        <v/>
      </c>
      <c r="AI46" s="6">
        <f>IF(AH46="","",IF(M46="IGEN",MIN(AH46,AG46),AH46))</f>
        <v/>
      </c>
      <c r="AJ46" s="5" t="n"/>
    </row>
    <row r="47">
      <c r="A47" s="5" t="n"/>
      <c r="B47" s="5" t="n"/>
      <c r="C47" s="5" t="n"/>
      <c r="D47" s="5">
        <f>IF(AND(B47&lt;&gt;"",C47&lt;&gt;""),C47-B47+1,"")</f>
        <v/>
      </c>
      <c r="E47" s="5">
        <f>IF(B47&lt;&gt;"",YEAR(B47),"")</f>
        <v/>
      </c>
      <c r="F47" s="6" t="n"/>
      <c r="G47" s="6" t="n"/>
      <c r="H47" s="6" t="n"/>
      <c r="I47" s="5">
        <f>IF(H47="","",IFERROR(INDEX(Szabályok!$B$13:$B$200,MATCH(H47,Szabályok!$A$13:$A$200,0)),""))</f>
        <v/>
      </c>
      <c r="J47" s="5">
        <f>IF(H47="","",IFERROR(INDEX(Szabályok!$C$13:$C$200,MATCH(H47,Szabályok!$A$13:$A$200,0)),""))</f>
        <v/>
      </c>
      <c r="K47" s="5">
        <f>IF(H47="","",IFERROR(INDEX(Szabályok!$D$13:$D$200,MATCH(H47,Szabályok!$A$13:$A$200,0)),""))</f>
        <v/>
      </c>
      <c r="L47" s="5">
        <f>IF(H47="","",IFERROR(INDEX(Szabályok!$E$13:$E$200,MATCH(H47,Szabályok!$A$13:$A$200,0)),""))</f>
        <v/>
      </c>
      <c r="M47" s="5">
        <f>IF(H47="","",IFERROR(INDEX(Szabályok!$F$13:$F$200,MATCH(H47,Szabályok!$A$13:$A$200,0)),""))</f>
        <v/>
      </c>
      <c r="N47" s="5">
        <f>IF(H47="","",IFERROR(INDEX(Szabályok!$G$13:$G$200,MATCH(H47,Szabályok!$A$13:$A$200,0)),""))</f>
        <v/>
      </c>
      <c r="O47" s="5">
        <f>IF(H47="","",IFERROR(INDEX(Szabályok!$H$13:$H$200,MATCH(H47,Szabályok!$A$13:$A$200,0)),""))</f>
        <v/>
      </c>
      <c r="P47" s="5" t="n"/>
      <c r="Q47" s="6" t="n"/>
      <c r="R47" s="6" t="n"/>
      <c r="S47" s="6">
        <f>IF(COUNT(Q47:R47)=0,"",SUM(Q47:R47))</f>
        <v/>
      </c>
      <c r="T47" s="6" t="n"/>
      <c r="U47" s="5">
        <f>IF(T47="","",IF(L47&lt;&gt;"IGEN","IGEN",IF(S47&gt;=T47,"IGEN","NEM")))</f>
        <v/>
      </c>
      <c r="V47" s="5" t="n"/>
      <c r="W47" s="5" t="n"/>
      <c r="X47" s="5" t="n"/>
      <c r="Y47" s="5" t="n"/>
      <c r="Z47" s="5">
        <f>IF(X47="","",IF(COUNTIFS($X$5:$X$304,X47,$I$5:$I$304,"&lt;"&amp;I47)=0,I47,""))</f>
        <v/>
      </c>
      <c r="AA47" s="5">
        <f>IF(X47="","",IF(COUNTIFS($X$5:$X$304,X47,$I$5:$I$304,"&lt;"&amp;I47)&gt;0,"NEM",IF(COUNTIFS($X$5:$X$304,X47,$I$5:$I$304,I47)=1,"IGEN",IF(Y47=1,"IGEN","NEM"))))</f>
        <v/>
      </c>
      <c r="AB47" s="5">
        <f>IF(OR(I47="",J47=""),"",IF(OR(I47=0,V47="IGEN",W47="IGEN"),"X",IF(AND(K47&lt;&gt;"IGEN",L47="IGEN",U47="NEM"),"X",IF(AA47="IGEN",J47,"X"))))</f>
        <v/>
      </c>
      <c r="AC47" s="5">
        <f>IF(AB47="X",0,IF(D47="","",D47))</f>
        <v/>
      </c>
      <c r="AD47" s="5">
        <f>IF(AB47="X",IF(D47="","",D47),0)</f>
        <v/>
      </c>
      <c r="AE47" s="6" t="n"/>
      <c r="AF47" s="6">
        <f>IF(E47="","",SUMIFS($AI$5:AI47,$E$5:E47,E47)-AI47)</f>
        <v/>
      </c>
      <c r="AG47" s="6">
        <f>IF(AE47="","",MAX(0,AE47-AF47))</f>
        <v/>
      </c>
      <c r="AH47" s="6">
        <f>IF(S47="","",IF(OR(I47=0,V47="IGEN",W47="IGEN"),0,IF(AND(K47&lt;&gt;"IGEN",L47="IGEN",U47="NEM"),0,S47)))</f>
        <v/>
      </c>
      <c r="AI47" s="6">
        <f>IF(AH47="","",IF(M47="IGEN",MIN(AH47,AG47),AH47))</f>
        <v/>
      </c>
      <c r="AJ47" s="5" t="n"/>
    </row>
    <row r="48">
      <c r="A48" s="5" t="n"/>
      <c r="B48" s="5" t="n"/>
      <c r="C48" s="5" t="n"/>
      <c r="D48" s="5">
        <f>IF(AND(B48&lt;&gt;"",C48&lt;&gt;""),C48-B48+1,"")</f>
        <v/>
      </c>
      <c r="E48" s="5">
        <f>IF(B48&lt;&gt;"",YEAR(B48),"")</f>
        <v/>
      </c>
      <c r="F48" s="6" t="n"/>
      <c r="G48" s="6" t="n"/>
      <c r="H48" s="6" t="n"/>
      <c r="I48" s="5">
        <f>IF(H48="","",IFERROR(INDEX(Szabályok!$B$13:$B$200,MATCH(H48,Szabályok!$A$13:$A$200,0)),""))</f>
        <v/>
      </c>
      <c r="J48" s="5">
        <f>IF(H48="","",IFERROR(INDEX(Szabályok!$C$13:$C$200,MATCH(H48,Szabályok!$A$13:$A$200,0)),""))</f>
        <v/>
      </c>
      <c r="K48" s="5">
        <f>IF(H48="","",IFERROR(INDEX(Szabályok!$D$13:$D$200,MATCH(H48,Szabályok!$A$13:$A$200,0)),""))</f>
        <v/>
      </c>
      <c r="L48" s="5">
        <f>IF(H48="","",IFERROR(INDEX(Szabályok!$E$13:$E$200,MATCH(H48,Szabályok!$A$13:$A$200,0)),""))</f>
        <v/>
      </c>
      <c r="M48" s="5">
        <f>IF(H48="","",IFERROR(INDEX(Szabályok!$F$13:$F$200,MATCH(H48,Szabályok!$A$13:$A$200,0)),""))</f>
        <v/>
      </c>
      <c r="N48" s="5">
        <f>IF(H48="","",IFERROR(INDEX(Szabályok!$G$13:$G$200,MATCH(H48,Szabályok!$A$13:$A$200,0)),""))</f>
        <v/>
      </c>
      <c r="O48" s="5">
        <f>IF(H48="","",IFERROR(INDEX(Szabályok!$H$13:$H$200,MATCH(H48,Szabályok!$A$13:$A$200,0)),""))</f>
        <v/>
      </c>
      <c r="P48" s="5" t="n"/>
      <c r="Q48" s="6" t="n"/>
      <c r="R48" s="6" t="n"/>
      <c r="S48" s="6">
        <f>IF(COUNT(Q48:R48)=0,"",SUM(Q48:R48))</f>
        <v/>
      </c>
      <c r="T48" s="6" t="n"/>
      <c r="U48" s="5">
        <f>IF(T48="","",IF(L48&lt;&gt;"IGEN","IGEN",IF(S48&gt;=T48,"IGEN","NEM")))</f>
        <v/>
      </c>
      <c r="V48" s="5" t="n"/>
      <c r="W48" s="5" t="n"/>
      <c r="X48" s="5" t="n"/>
      <c r="Y48" s="5" t="n"/>
      <c r="Z48" s="5">
        <f>IF(X48="","",IF(COUNTIFS($X$5:$X$304,X48,$I$5:$I$304,"&lt;"&amp;I48)=0,I48,""))</f>
        <v/>
      </c>
      <c r="AA48" s="5">
        <f>IF(X48="","",IF(COUNTIFS($X$5:$X$304,X48,$I$5:$I$304,"&lt;"&amp;I48)&gt;0,"NEM",IF(COUNTIFS($X$5:$X$304,X48,$I$5:$I$304,I48)=1,"IGEN",IF(Y48=1,"IGEN","NEM"))))</f>
        <v/>
      </c>
      <c r="AB48" s="5">
        <f>IF(OR(I48="",J48=""),"",IF(OR(I48=0,V48="IGEN",W48="IGEN"),"X",IF(AND(K48&lt;&gt;"IGEN",L48="IGEN",U48="NEM"),"X",IF(AA48="IGEN",J48,"X"))))</f>
        <v/>
      </c>
      <c r="AC48" s="5">
        <f>IF(AB48="X",0,IF(D48="","",D48))</f>
        <v/>
      </c>
      <c r="AD48" s="5">
        <f>IF(AB48="X",IF(D48="","",D48),0)</f>
        <v/>
      </c>
      <c r="AE48" s="6" t="n"/>
      <c r="AF48" s="6">
        <f>IF(E48="","",SUMIFS($AI$5:AI48,$E$5:E48,E48)-AI48)</f>
        <v/>
      </c>
      <c r="AG48" s="6">
        <f>IF(AE48="","",MAX(0,AE48-AF48))</f>
        <v/>
      </c>
      <c r="AH48" s="6">
        <f>IF(S48="","",IF(OR(I48=0,V48="IGEN",W48="IGEN"),0,IF(AND(K48&lt;&gt;"IGEN",L48="IGEN",U48="NEM"),0,S48)))</f>
        <v/>
      </c>
      <c r="AI48" s="6">
        <f>IF(AH48="","",IF(M48="IGEN",MIN(AH48,AG48),AH48))</f>
        <v/>
      </c>
      <c r="AJ48" s="5" t="n"/>
    </row>
    <row r="49">
      <c r="A49" s="5" t="n"/>
      <c r="B49" s="5" t="n"/>
      <c r="C49" s="5" t="n"/>
      <c r="D49" s="5">
        <f>IF(AND(B49&lt;&gt;"",C49&lt;&gt;""),C49-B49+1,"")</f>
        <v/>
      </c>
      <c r="E49" s="5">
        <f>IF(B49&lt;&gt;"",YEAR(B49),"")</f>
        <v/>
      </c>
      <c r="F49" s="6" t="n"/>
      <c r="G49" s="6" t="n"/>
      <c r="H49" s="6" t="n"/>
      <c r="I49" s="5">
        <f>IF(H49="","",IFERROR(INDEX(Szabályok!$B$13:$B$200,MATCH(H49,Szabályok!$A$13:$A$200,0)),""))</f>
        <v/>
      </c>
      <c r="J49" s="5">
        <f>IF(H49="","",IFERROR(INDEX(Szabályok!$C$13:$C$200,MATCH(H49,Szabályok!$A$13:$A$200,0)),""))</f>
        <v/>
      </c>
      <c r="K49" s="5">
        <f>IF(H49="","",IFERROR(INDEX(Szabályok!$D$13:$D$200,MATCH(H49,Szabályok!$A$13:$A$200,0)),""))</f>
        <v/>
      </c>
      <c r="L49" s="5">
        <f>IF(H49="","",IFERROR(INDEX(Szabályok!$E$13:$E$200,MATCH(H49,Szabályok!$A$13:$A$200,0)),""))</f>
        <v/>
      </c>
      <c r="M49" s="5">
        <f>IF(H49="","",IFERROR(INDEX(Szabályok!$F$13:$F$200,MATCH(H49,Szabályok!$A$13:$A$200,0)),""))</f>
        <v/>
      </c>
      <c r="N49" s="5">
        <f>IF(H49="","",IFERROR(INDEX(Szabályok!$G$13:$G$200,MATCH(H49,Szabályok!$A$13:$A$200,0)),""))</f>
        <v/>
      </c>
      <c r="O49" s="5">
        <f>IF(H49="","",IFERROR(INDEX(Szabályok!$H$13:$H$200,MATCH(H49,Szabályok!$A$13:$A$200,0)),""))</f>
        <v/>
      </c>
      <c r="P49" s="5" t="n"/>
      <c r="Q49" s="6" t="n"/>
      <c r="R49" s="6" t="n"/>
      <c r="S49" s="6">
        <f>IF(COUNT(Q49:R49)=0,"",SUM(Q49:R49))</f>
        <v/>
      </c>
      <c r="T49" s="6" t="n"/>
      <c r="U49" s="5">
        <f>IF(T49="","",IF(L49&lt;&gt;"IGEN","IGEN",IF(S49&gt;=T49,"IGEN","NEM")))</f>
        <v/>
      </c>
      <c r="V49" s="5" t="n"/>
      <c r="W49" s="5" t="n"/>
      <c r="X49" s="5" t="n"/>
      <c r="Y49" s="5" t="n"/>
      <c r="Z49" s="5">
        <f>IF(X49="","",IF(COUNTIFS($X$5:$X$304,X49,$I$5:$I$304,"&lt;"&amp;I49)=0,I49,""))</f>
        <v/>
      </c>
      <c r="AA49" s="5">
        <f>IF(X49="","",IF(COUNTIFS($X$5:$X$304,X49,$I$5:$I$304,"&lt;"&amp;I49)&gt;0,"NEM",IF(COUNTIFS($X$5:$X$304,X49,$I$5:$I$304,I49)=1,"IGEN",IF(Y49=1,"IGEN","NEM"))))</f>
        <v/>
      </c>
      <c r="AB49" s="5">
        <f>IF(OR(I49="",J49=""),"",IF(OR(I49=0,V49="IGEN",W49="IGEN"),"X",IF(AND(K49&lt;&gt;"IGEN",L49="IGEN",U49="NEM"),"X",IF(AA49="IGEN",J49,"X"))))</f>
        <v/>
      </c>
      <c r="AC49" s="5">
        <f>IF(AB49="X",0,IF(D49="","",D49))</f>
        <v/>
      </c>
      <c r="AD49" s="5">
        <f>IF(AB49="X",IF(D49="","",D49),0)</f>
        <v/>
      </c>
      <c r="AE49" s="6" t="n"/>
      <c r="AF49" s="6">
        <f>IF(E49="","",SUMIFS($AI$5:AI49,$E$5:E49,E49)-AI49)</f>
        <v/>
      </c>
      <c r="AG49" s="6">
        <f>IF(AE49="","",MAX(0,AE49-AF49))</f>
        <v/>
      </c>
      <c r="AH49" s="6">
        <f>IF(S49="","",IF(OR(I49=0,V49="IGEN",W49="IGEN"),0,IF(AND(K49&lt;&gt;"IGEN",L49="IGEN",U49="NEM"),0,S49)))</f>
        <v/>
      </c>
      <c r="AI49" s="6">
        <f>IF(AH49="","",IF(M49="IGEN",MIN(AH49,AG49),AH49))</f>
        <v/>
      </c>
      <c r="AJ49" s="5" t="n"/>
    </row>
    <row r="50">
      <c r="A50" s="5" t="n"/>
      <c r="B50" s="5" t="n"/>
      <c r="C50" s="5" t="n"/>
      <c r="D50" s="5">
        <f>IF(AND(B50&lt;&gt;"",C50&lt;&gt;""),C50-B50+1,"")</f>
        <v/>
      </c>
      <c r="E50" s="5">
        <f>IF(B50&lt;&gt;"",YEAR(B50),"")</f>
        <v/>
      </c>
      <c r="F50" s="6" t="n"/>
      <c r="G50" s="6" t="n"/>
      <c r="H50" s="6" t="n"/>
      <c r="I50" s="5">
        <f>IF(H50="","",IFERROR(INDEX(Szabályok!$B$13:$B$200,MATCH(H50,Szabályok!$A$13:$A$200,0)),""))</f>
        <v/>
      </c>
      <c r="J50" s="5">
        <f>IF(H50="","",IFERROR(INDEX(Szabályok!$C$13:$C$200,MATCH(H50,Szabályok!$A$13:$A$200,0)),""))</f>
        <v/>
      </c>
      <c r="K50" s="5">
        <f>IF(H50="","",IFERROR(INDEX(Szabályok!$D$13:$D$200,MATCH(H50,Szabályok!$A$13:$A$200,0)),""))</f>
        <v/>
      </c>
      <c r="L50" s="5">
        <f>IF(H50="","",IFERROR(INDEX(Szabályok!$E$13:$E$200,MATCH(H50,Szabályok!$A$13:$A$200,0)),""))</f>
        <v/>
      </c>
      <c r="M50" s="5">
        <f>IF(H50="","",IFERROR(INDEX(Szabályok!$F$13:$F$200,MATCH(H50,Szabályok!$A$13:$A$200,0)),""))</f>
        <v/>
      </c>
      <c r="N50" s="5">
        <f>IF(H50="","",IFERROR(INDEX(Szabályok!$G$13:$G$200,MATCH(H50,Szabályok!$A$13:$A$200,0)),""))</f>
        <v/>
      </c>
      <c r="O50" s="5">
        <f>IF(H50="","",IFERROR(INDEX(Szabályok!$H$13:$H$200,MATCH(H50,Szabályok!$A$13:$A$200,0)),""))</f>
        <v/>
      </c>
      <c r="P50" s="5" t="n"/>
      <c r="Q50" s="6" t="n"/>
      <c r="R50" s="6" t="n"/>
      <c r="S50" s="6">
        <f>IF(COUNT(Q50:R50)=0,"",SUM(Q50:R50))</f>
        <v/>
      </c>
      <c r="T50" s="6" t="n"/>
      <c r="U50" s="5">
        <f>IF(T50="","",IF(L50&lt;&gt;"IGEN","IGEN",IF(S50&gt;=T50,"IGEN","NEM")))</f>
        <v/>
      </c>
      <c r="V50" s="5" t="n"/>
      <c r="W50" s="5" t="n"/>
      <c r="X50" s="5" t="n"/>
      <c r="Y50" s="5" t="n"/>
      <c r="Z50" s="5">
        <f>IF(X50="","",IF(COUNTIFS($X$5:$X$304,X50,$I$5:$I$304,"&lt;"&amp;I50)=0,I50,""))</f>
        <v/>
      </c>
      <c r="AA50" s="5">
        <f>IF(X50="","",IF(COUNTIFS($X$5:$X$304,X50,$I$5:$I$304,"&lt;"&amp;I50)&gt;0,"NEM",IF(COUNTIFS($X$5:$X$304,X50,$I$5:$I$304,I50)=1,"IGEN",IF(Y50=1,"IGEN","NEM"))))</f>
        <v/>
      </c>
      <c r="AB50" s="5">
        <f>IF(OR(I50="",J50=""),"",IF(OR(I50=0,V50="IGEN",W50="IGEN"),"X",IF(AND(K50&lt;&gt;"IGEN",L50="IGEN",U50="NEM"),"X",IF(AA50="IGEN",J50,"X"))))</f>
        <v/>
      </c>
      <c r="AC50" s="5">
        <f>IF(AB50="X",0,IF(D50="","",D50))</f>
        <v/>
      </c>
      <c r="AD50" s="5">
        <f>IF(AB50="X",IF(D50="","",D50),0)</f>
        <v/>
      </c>
      <c r="AE50" s="6" t="n"/>
      <c r="AF50" s="6">
        <f>IF(E50="","",SUMIFS($AI$5:AI50,$E$5:E50,E50)-AI50)</f>
        <v/>
      </c>
      <c r="AG50" s="6">
        <f>IF(AE50="","",MAX(0,AE50-AF50))</f>
        <v/>
      </c>
      <c r="AH50" s="6">
        <f>IF(S50="","",IF(OR(I50=0,V50="IGEN",W50="IGEN"),0,IF(AND(K50&lt;&gt;"IGEN",L50="IGEN",U50="NEM"),0,S50)))</f>
        <v/>
      </c>
      <c r="AI50" s="6">
        <f>IF(AH50="","",IF(M50="IGEN",MIN(AH50,AG50),AH50))</f>
        <v/>
      </c>
      <c r="AJ50" s="5" t="n"/>
    </row>
    <row r="51">
      <c r="A51" s="5" t="n"/>
      <c r="B51" s="5" t="n"/>
      <c r="C51" s="5" t="n"/>
      <c r="D51" s="5">
        <f>IF(AND(B51&lt;&gt;"",C51&lt;&gt;""),C51-B51+1,"")</f>
        <v/>
      </c>
      <c r="E51" s="5">
        <f>IF(B51&lt;&gt;"",YEAR(B51),"")</f>
        <v/>
      </c>
      <c r="F51" s="6" t="n"/>
      <c r="G51" s="6" t="n"/>
      <c r="H51" s="6" t="n"/>
      <c r="I51" s="5">
        <f>IF(H51="","",IFERROR(INDEX(Szabályok!$B$13:$B$200,MATCH(H51,Szabályok!$A$13:$A$200,0)),""))</f>
        <v/>
      </c>
      <c r="J51" s="5">
        <f>IF(H51="","",IFERROR(INDEX(Szabályok!$C$13:$C$200,MATCH(H51,Szabályok!$A$13:$A$200,0)),""))</f>
        <v/>
      </c>
      <c r="K51" s="5">
        <f>IF(H51="","",IFERROR(INDEX(Szabályok!$D$13:$D$200,MATCH(H51,Szabályok!$A$13:$A$200,0)),""))</f>
        <v/>
      </c>
      <c r="L51" s="5">
        <f>IF(H51="","",IFERROR(INDEX(Szabályok!$E$13:$E$200,MATCH(H51,Szabályok!$A$13:$A$200,0)),""))</f>
        <v/>
      </c>
      <c r="M51" s="5">
        <f>IF(H51="","",IFERROR(INDEX(Szabályok!$F$13:$F$200,MATCH(H51,Szabályok!$A$13:$A$200,0)),""))</f>
        <v/>
      </c>
      <c r="N51" s="5">
        <f>IF(H51="","",IFERROR(INDEX(Szabályok!$G$13:$G$200,MATCH(H51,Szabályok!$A$13:$A$200,0)),""))</f>
        <v/>
      </c>
      <c r="O51" s="5">
        <f>IF(H51="","",IFERROR(INDEX(Szabályok!$H$13:$H$200,MATCH(H51,Szabályok!$A$13:$A$200,0)),""))</f>
        <v/>
      </c>
      <c r="P51" s="5" t="n"/>
      <c r="Q51" s="6" t="n"/>
      <c r="R51" s="6" t="n"/>
      <c r="S51" s="6">
        <f>IF(COUNT(Q51:R51)=0,"",SUM(Q51:R51))</f>
        <v/>
      </c>
      <c r="T51" s="6" t="n"/>
      <c r="U51" s="5">
        <f>IF(T51="","",IF(L51&lt;&gt;"IGEN","IGEN",IF(S51&gt;=T51,"IGEN","NEM")))</f>
        <v/>
      </c>
      <c r="V51" s="5" t="n"/>
      <c r="W51" s="5" t="n"/>
      <c r="X51" s="5" t="n"/>
      <c r="Y51" s="5" t="n"/>
      <c r="Z51" s="5">
        <f>IF(X51="","",IF(COUNTIFS($X$5:$X$304,X51,$I$5:$I$304,"&lt;"&amp;I51)=0,I51,""))</f>
        <v/>
      </c>
      <c r="AA51" s="5">
        <f>IF(X51="","",IF(COUNTIFS($X$5:$X$304,X51,$I$5:$I$304,"&lt;"&amp;I51)&gt;0,"NEM",IF(COUNTIFS($X$5:$X$304,X51,$I$5:$I$304,I51)=1,"IGEN",IF(Y51=1,"IGEN","NEM"))))</f>
        <v/>
      </c>
      <c r="AB51" s="5">
        <f>IF(OR(I51="",J51=""),"",IF(OR(I51=0,V51="IGEN",W51="IGEN"),"X",IF(AND(K51&lt;&gt;"IGEN",L51="IGEN",U51="NEM"),"X",IF(AA51="IGEN",J51,"X"))))</f>
        <v/>
      </c>
      <c r="AC51" s="5">
        <f>IF(AB51="X",0,IF(D51="","",D51))</f>
        <v/>
      </c>
      <c r="AD51" s="5">
        <f>IF(AB51="X",IF(D51="","",D51),0)</f>
        <v/>
      </c>
      <c r="AE51" s="6" t="n"/>
      <c r="AF51" s="6">
        <f>IF(E51="","",SUMIFS($AI$5:AI51,$E$5:E51,E51)-AI51)</f>
        <v/>
      </c>
      <c r="AG51" s="6">
        <f>IF(AE51="","",MAX(0,AE51-AF51))</f>
        <v/>
      </c>
      <c r="AH51" s="6">
        <f>IF(S51="","",IF(OR(I51=0,V51="IGEN",W51="IGEN"),0,IF(AND(K51&lt;&gt;"IGEN",L51="IGEN",U51="NEM"),0,S51)))</f>
        <v/>
      </c>
      <c r="AI51" s="6">
        <f>IF(AH51="","",IF(M51="IGEN",MIN(AH51,AG51),AH51))</f>
        <v/>
      </c>
      <c r="AJ51" s="5" t="n"/>
    </row>
    <row r="52">
      <c r="A52" s="5" t="n"/>
      <c r="B52" s="5" t="n"/>
      <c r="C52" s="5" t="n"/>
      <c r="D52" s="5">
        <f>IF(AND(B52&lt;&gt;"",C52&lt;&gt;""),C52-B52+1,"")</f>
        <v/>
      </c>
      <c r="E52" s="5">
        <f>IF(B52&lt;&gt;"",YEAR(B52),"")</f>
        <v/>
      </c>
      <c r="F52" s="6" t="n"/>
      <c r="G52" s="6" t="n"/>
      <c r="H52" s="6" t="n"/>
      <c r="I52" s="5">
        <f>IF(H52="","",IFERROR(INDEX(Szabályok!$B$13:$B$200,MATCH(H52,Szabályok!$A$13:$A$200,0)),""))</f>
        <v/>
      </c>
      <c r="J52" s="5">
        <f>IF(H52="","",IFERROR(INDEX(Szabályok!$C$13:$C$200,MATCH(H52,Szabályok!$A$13:$A$200,0)),""))</f>
        <v/>
      </c>
      <c r="K52" s="5">
        <f>IF(H52="","",IFERROR(INDEX(Szabályok!$D$13:$D$200,MATCH(H52,Szabályok!$A$13:$A$200,0)),""))</f>
        <v/>
      </c>
      <c r="L52" s="5">
        <f>IF(H52="","",IFERROR(INDEX(Szabályok!$E$13:$E$200,MATCH(H52,Szabályok!$A$13:$A$200,0)),""))</f>
        <v/>
      </c>
      <c r="M52" s="5">
        <f>IF(H52="","",IFERROR(INDEX(Szabályok!$F$13:$F$200,MATCH(H52,Szabályok!$A$13:$A$200,0)),""))</f>
        <v/>
      </c>
      <c r="N52" s="5">
        <f>IF(H52="","",IFERROR(INDEX(Szabályok!$G$13:$G$200,MATCH(H52,Szabályok!$A$13:$A$200,0)),""))</f>
        <v/>
      </c>
      <c r="O52" s="5">
        <f>IF(H52="","",IFERROR(INDEX(Szabályok!$H$13:$H$200,MATCH(H52,Szabályok!$A$13:$A$200,0)),""))</f>
        <v/>
      </c>
      <c r="P52" s="5" t="n"/>
      <c r="Q52" s="6" t="n"/>
      <c r="R52" s="6" t="n"/>
      <c r="S52" s="6">
        <f>IF(COUNT(Q52:R52)=0,"",SUM(Q52:R52))</f>
        <v/>
      </c>
      <c r="T52" s="6" t="n"/>
      <c r="U52" s="5">
        <f>IF(T52="","",IF(L52&lt;&gt;"IGEN","IGEN",IF(S52&gt;=T52,"IGEN","NEM")))</f>
        <v/>
      </c>
      <c r="V52" s="5" t="n"/>
      <c r="W52" s="5" t="n"/>
      <c r="X52" s="5" t="n"/>
      <c r="Y52" s="5" t="n"/>
      <c r="Z52" s="5">
        <f>IF(X52="","",IF(COUNTIFS($X$5:$X$304,X52,$I$5:$I$304,"&lt;"&amp;I52)=0,I52,""))</f>
        <v/>
      </c>
      <c r="AA52" s="5">
        <f>IF(X52="","",IF(COUNTIFS($X$5:$X$304,X52,$I$5:$I$304,"&lt;"&amp;I52)&gt;0,"NEM",IF(COUNTIFS($X$5:$X$304,X52,$I$5:$I$304,I52)=1,"IGEN",IF(Y52=1,"IGEN","NEM"))))</f>
        <v/>
      </c>
      <c r="AB52" s="5">
        <f>IF(OR(I52="",J52=""),"",IF(OR(I52=0,V52="IGEN",W52="IGEN"),"X",IF(AND(K52&lt;&gt;"IGEN",L52="IGEN",U52="NEM"),"X",IF(AA52="IGEN",J52,"X"))))</f>
        <v/>
      </c>
      <c r="AC52" s="5">
        <f>IF(AB52="X",0,IF(D52="","",D52))</f>
        <v/>
      </c>
      <c r="AD52" s="5">
        <f>IF(AB52="X",IF(D52="","",D52),0)</f>
        <v/>
      </c>
      <c r="AE52" s="6" t="n"/>
      <c r="AF52" s="6">
        <f>IF(E52="","",SUMIFS($AI$5:AI52,$E$5:E52,E52)-AI52)</f>
        <v/>
      </c>
      <c r="AG52" s="6">
        <f>IF(AE52="","",MAX(0,AE52-AF52))</f>
        <v/>
      </c>
      <c r="AH52" s="6">
        <f>IF(S52="","",IF(OR(I52=0,V52="IGEN",W52="IGEN"),0,IF(AND(K52&lt;&gt;"IGEN",L52="IGEN",U52="NEM"),0,S52)))</f>
        <v/>
      </c>
      <c r="AI52" s="6">
        <f>IF(AH52="","",IF(M52="IGEN",MIN(AH52,AG52),AH52))</f>
        <v/>
      </c>
      <c r="AJ52" s="5" t="n"/>
    </row>
    <row r="53">
      <c r="A53" s="5" t="n"/>
      <c r="B53" s="5" t="n"/>
      <c r="C53" s="5" t="n"/>
      <c r="D53" s="5">
        <f>IF(AND(B53&lt;&gt;"",C53&lt;&gt;""),C53-B53+1,"")</f>
        <v/>
      </c>
      <c r="E53" s="5">
        <f>IF(B53&lt;&gt;"",YEAR(B53),"")</f>
        <v/>
      </c>
      <c r="F53" s="6" t="n"/>
      <c r="G53" s="6" t="n"/>
      <c r="H53" s="6" t="n"/>
      <c r="I53" s="5">
        <f>IF(H53="","",IFERROR(INDEX(Szabályok!$B$13:$B$200,MATCH(H53,Szabályok!$A$13:$A$200,0)),""))</f>
        <v/>
      </c>
      <c r="J53" s="5">
        <f>IF(H53="","",IFERROR(INDEX(Szabályok!$C$13:$C$200,MATCH(H53,Szabályok!$A$13:$A$200,0)),""))</f>
        <v/>
      </c>
      <c r="K53" s="5">
        <f>IF(H53="","",IFERROR(INDEX(Szabályok!$D$13:$D$200,MATCH(H53,Szabályok!$A$13:$A$200,0)),""))</f>
        <v/>
      </c>
      <c r="L53" s="5">
        <f>IF(H53="","",IFERROR(INDEX(Szabályok!$E$13:$E$200,MATCH(H53,Szabályok!$A$13:$A$200,0)),""))</f>
        <v/>
      </c>
      <c r="M53" s="5">
        <f>IF(H53="","",IFERROR(INDEX(Szabályok!$F$13:$F$200,MATCH(H53,Szabályok!$A$13:$A$200,0)),""))</f>
        <v/>
      </c>
      <c r="N53" s="5">
        <f>IF(H53="","",IFERROR(INDEX(Szabályok!$G$13:$G$200,MATCH(H53,Szabályok!$A$13:$A$200,0)),""))</f>
        <v/>
      </c>
      <c r="O53" s="5">
        <f>IF(H53="","",IFERROR(INDEX(Szabályok!$H$13:$H$200,MATCH(H53,Szabályok!$A$13:$A$200,0)),""))</f>
        <v/>
      </c>
      <c r="P53" s="5" t="n"/>
      <c r="Q53" s="6" t="n"/>
      <c r="R53" s="6" t="n"/>
      <c r="S53" s="6">
        <f>IF(COUNT(Q53:R53)=0,"",SUM(Q53:R53))</f>
        <v/>
      </c>
      <c r="T53" s="6" t="n"/>
      <c r="U53" s="5">
        <f>IF(T53="","",IF(L53&lt;&gt;"IGEN","IGEN",IF(S53&gt;=T53,"IGEN","NEM")))</f>
        <v/>
      </c>
      <c r="V53" s="5" t="n"/>
      <c r="W53" s="5" t="n"/>
      <c r="X53" s="5" t="n"/>
      <c r="Y53" s="5" t="n"/>
      <c r="Z53" s="5">
        <f>IF(X53="","",IF(COUNTIFS($X$5:$X$304,X53,$I$5:$I$304,"&lt;"&amp;I53)=0,I53,""))</f>
        <v/>
      </c>
      <c r="AA53" s="5">
        <f>IF(X53="","",IF(COUNTIFS($X$5:$X$304,X53,$I$5:$I$304,"&lt;"&amp;I53)&gt;0,"NEM",IF(COUNTIFS($X$5:$X$304,X53,$I$5:$I$304,I53)=1,"IGEN",IF(Y53=1,"IGEN","NEM"))))</f>
        <v/>
      </c>
      <c r="AB53" s="5">
        <f>IF(OR(I53="",J53=""),"",IF(OR(I53=0,V53="IGEN",W53="IGEN"),"X",IF(AND(K53&lt;&gt;"IGEN",L53="IGEN",U53="NEM"),"X",IF(AA53="IGEN",J53,"X"))))</f>
        <v/>
      </c>
      <c r="AC53" s="5">
        <f>IF(AB53="X",0,IF(D53="","",D53))</f>
        <v/>
      </c>
      <c r="AD53" s="5">
        <f>IF(AB53="X",IF(D53="","",D53),0)</f>
        <v/>
      </c>
      <c r="AE53" s="6" t="n"/>
      <c r="AF53" s="6">
        <f>IF(E53="","",SUMIFS($AI$5:AI53,$E$5:E53,E53)-AI53)</f>
        <v/>
      </c>
      <c r="AG53" s="6">
        <f>IF(AE53="","",MAX(0,AE53-AF53))</f>
        <v/>
      </c>
      <c r="AH53" s="6">
        <f>IF(S53="","",IF(OR(I53=0,V53="IGEN",W53="IGEN"),0,IF(AND(K53&lt;&gt;"IGEN",L53="IGEN",U53="NEM"),0,S53)))</f>
        <v/>
      </c>
      <c r="AI53" s="6">
        <f>IF(AH53="","",IF(M53="IGEN",MIN(AH53,AG53),AH53))</f>
        <v/>
      </c>
      <c r="AJ53" s="5" t="n"/>
    </row>
    <row r="54">
      <c r="A54" s="5" t="n"/>
      <c r="B54" s="5" t="n"/>
      <c r="C54" s="5" t="n"/>
      <c r="D54" s="5">
        <f>IF(AND(B54&lt;&gt;"",C54&lt;&gt;""),C54-B54+1,"")</f>
        <v/>
      </c>
      <c r="E54" s="5">
        <f>IF(B54&lt;&gt;"",YEAR(B54),"")</f>
        <v/>
      </c>
      <c r="F54" s="6" t="n"/>
      <c r="G54" s="6" t="n"/>
      <c r="H54" s="6" t="n"/>
      <c r="I54" s="5">
        <f>IF(H54="","",IFERROR(INDEX(Szabályok!$B$13:$B$200,MATCH(H54,Szabályok!$A$13:$A$200,0)),""))</f>
        <v/>
      </c>
      <c r="J54" s="5">
        <f>IF(H54="","",IFERROR(INDEX(Szabályok!$C$13:$C$200,MATCH(H54,Szabályok!$A$13:$A$200,0)),""))</f>
        <v/>
      </c>
      <c r="K54" s="5">
        <f>IF(H54="","",IFERROR(INDEX(Szabályok!$D$13:$D$200,MATCH(H54,Szabályok!$A$13:$A$200,0)),""))</f>
        <v/>
      </c>
      <c r="L54" s="5">
        <f>IF(H54="","",IFERROR(INDEX(Szabályok!$E$13:$E$200,MATCH(H54,Szabályok!$A$13:$A$200,0)),""))</f>
        <v/>
      </c>
      <c r="M54" s="5">
        <f>IF(H54="","",IFERROR(INDEX(Szabályok!$F$13:$F$200,MATCH(H54,Szabályok!$A$13:$A$200,0)),""))</f>
        <v/>
      </c>
      <c r="N54" s="5">
        <f>IF(H54="","",IFERROR(INDEX(Szabályok!$G$13:$G$200,MATCH(H54,Szabályok!$A$13:$A$200,0)),""))</f>
        <v/>
      </c>
      <c r="O54" s="5">
        <f>IF(H54="","",IFERROR(INDEX(Szabályok!$H$13:$H$200,MATCH(H54,Szabályok!$A$13:$A$200,0)),""))</f>
        <v/>
      </c>
      <c r="P54" s="5" t="n"/>
      <c r="Q54" s="6" t="n"/>
      <c r="R54" s="6" t="n"/>
      <c r="S54" s="6">
        <f>IF(COUNT(Q54:R54)=0,"",SUM(Q54:R54))</f>
        <v/>
      </c>
      <c r="T54" s="6" t="n"/>
      <c r="U54" s="5">
        <f>IF(T54="","",IF(L54&lt;&gt;"IGEN","IGEN",IF(S54&gt;=T54,"IGEN","NEM")))</f>
        <v/>
      </c>
      <c r="V54" s="5" t="n"/>
      <c r="W54" s="5" t="n"/>
      <c r="X54" s="5" t="n"/>
      <c r="Y54" s="5" t="n"/>
      <c r="Z54" s="5">
        <f>IF(X54="","",IF(COUNTIFS($X$5:$X$304,X54,$I$5:$I$304,"&lt;"&amp;I54)=0,I54,""))</f>
        <v/>
      </c>
      <c r="AA54" s="5">
        <f>IF(X54="","",IF(COUNTIFS($X$5:$X$304,X54,$I$5:$I$304,"&lt;"&amp;I54)&gt;0,"NEM",IF(COUNTIFS($X$5:$X$304,X54,$I$5:$I$304,I54)=1,"IGEN",IF(Y54=1,"IGEN","NEM"))))</f>
        <v/>
      </c>
      <c r="AB54" s="5">
        <f>IF(OR(I54="",J54=""),"",IF(OR(I54=0,V54="IGEN",W54="IGEN"),"X",IF(AND(K54&lt;&gt;"IGEN",L54="IGEN",U54="NEM"),"X",IF(AA54="IGEN",J54,"X"))))</f>
        <v/>
      </c>
      <c r="AC54" s="5">
        <f>IF(AB54="X",0,IF(D54="","",D54))</f>
        <v/>
      </c>
      <c r="AD54" s="5">
        <f>IF(AB54="X",IF(D54="","",D54),0)</f>
        <v/>
      </c>
      <c r="AE54" s="6" t="n"/>
      <c r="AF54" s="6">
        <f>IF(E54="","",SUMIFS($AI$5:AI54,$E$5:E54,E54)-AI54)</f>
        <v/>
      </c>
      <c r="AG54" s="6">
        <f>IF(AE54="","",MAX(0,AE54-AF54))</f>
        <v/>
      </c>
      <c r="AH54" s="6">
        <f>IF(S54="","",IF(OR(I54=0,V54="IGEN",W54="IGEN"),0,IF(AND(K54&lt;&gt;"IGEN",L54="IGEN",U54="NEM"),0,S54)))</f>
        <v/>
      </c>
      <c r="AI54" s="6">
        <f>IF(AH54="","",IF(M54="IGEN",MIN(AH54,AG54),AH54))</f>
        <v/>
      </c>
      <c r="AJ54" s="5" t="n"/>
    </row>
    <row r="55">
      <c r="A55" s="5" t="n"/>
      <c r="B55" s="5" t="n"/>
      <c r="C55" s="5" t="n"/>
      <c r="D55" s="5">
        <f>IF(AND(B55&lt;&gt;"",C55&lt;&gt;""),C55-B55+1,"")</f>
        <v/>
      </c>
      <c r="E55" s="5">
        <f>IF(B55&lt;&gt;"",YEAR(B55),"")</f>
        <v/>
      </c>
      <c r="F55" s="6" t="n"/>
      <c r="G55" s="6" t="n"/>
      <c r="H55" s="6" t="n"/>
      <c r="I55" s="5">
        <f>IF(H55="","",IFERROR(INDEX(Szabályok!$B$13:$B$200,MATCH(H55,Szabályok!$A$13:$A$200,0)),""))</f>
        <v/>
      </c>
      <c r="J55" s="5">
        <f>IF(H55="","",IFERROR(INDEX(Szabályok!$C$13:$C$200,MATCH(H55,Szabályok!$A$13:$A$200,0)),""))</f>
        <v/>
      </c>
      <c r="K55" s="5">
        <f>IF(H55="","",IFERROR(INDEX(Szabályok!$D$13:$D$200,MATCH(H55,Szabályok!$A$13:$A$200,0)),""))</f>
        <v/>
      </c>
      <c r="L55" s="5">
        <f>IF(H55="","",IFERROR(INDEX(Szabályok!$E$13:$E$200,MATCH(H55,Szabályok!$A$13:$A$200,0)),""))</f>
        <v/>
      </c>
      <c r="M55" s="5">
        <f>IF(H55="","",IFERROR(INDEX(Szabályok!$F$13:$F$200,MATCH(H55,Szabályok!$A$13:$A$200,0)),""))</f>
        <v/>
      </c>
      <c r="N55" s="5">
        <f>IF(H55="","",IFERROR(INDEX(Szabályok!$G$13:$G$200,MATCH(H55,Szabályok!$A$13:$A$200,0)),""))</f>
        <v/>
      </c>
      <c r="O55" s="5">
        <f>IF(H55="","",IFERROR(INDEX(Szabályok!$H$13:$H$200,MATCH(H55,Szabályok!$A$13:$A$200,0)),""))</f>
        <v/>
      </c>
      <c r="P55" s="5" t="n"/>
      <c r="Q55" s="6" t="n"/>
      <c r="R55" s="6" t="n"/>
      <c r="S55" s="6">
        <f>IF(COUNT(Q55:R55)=0,"",SUM(Q55:R55))</f>
        <v/>
      </c>
      <c r="T55" s="6" t="n"/>
      <c r="U55" s="5">
        <f>IF(T55="","",IF(L55&lt;&gt;"IGEN","IGEN",IF(S55&gt;=T55,"IGEN","NEM")))</f>
        <v/>
      </c>
      <c r="V55" s="5" t="n"/>
      <c r="W55" s="5" t="n"/>
      <c r="X55" s="5" t="n"/>
      <c r="Y55" s="5" t="n"/>
      <c r="Z55" s="5">
        <f>IF(X55="","",IF(COUNTIFS($X$5:$X$304,X55,$I$5:$I$304,"&lt;"&amp;I55)=0,I55,""))</f>
        <v/>
      </c>
      <c r="AA55" s="5">
        <f>IF(X55="","",IF(COUNTIFS($X$5:$X$304,X55,$I$5:$I$304,"&lt;"&amp;I55)&gt;0,"NEM",IF(COUNTIFS($X$5:$X$304,X55,$I$5:$I$304,I55)=1,"IGEN",IF(Y55=1,"IGEN","NEM"))))</f>
        <v/>
      </c>
      <c r="AB55" s="5">
        <f>IF(OR(I55="",J55=""),"",IF(OR(I55=0,V55="IGEN",W55="IGEN"),"X",IF(AND(K55&lt;&gt;"IGEN",L55="IGEN",U55="NEM"),"X",IF(AA55="IGEN",J55,"X"))))</f>
        <v/>
      </c>
      <c r="AC55" s="5">
        <f>IF(AB55="X",0,IF(D55="","",D55))</f>
        <v/>
      </c>
      <c r="AD55" s="5">
        <f>IF(AB55="X",IF(D55="","",D55),0)</f>
        <v/>
      </c>
      <c r="AE55" s="6" t="n"/>
      <c r="AF55" s="6">
        <f>IF(E55="","",SUMIFS($AI$5:AI55,$E$5:E55,E55)-AI55)</f>
        <v/>
      </c>
      <c r="AG55" s="6">
        <f>IF(AE55="","",MAX(0,AE55-AF55))</f>
        <v/>
      </c>
      <c r="AH55" s="6">
        <f>IF(S55="","",IF(OR(I55=0,V55="IGEN",W55="IGEN"),0,IF(AND(K55&lt;&gt;"IGEN",L55="IGEN",U55="NEM"),0,S55)))</f>
        <v/>
      </c>
      <c r="AI55" s="6">
        <f>IF(AH55="","",IF(M55="IGEN",MIN(AH55,AG55),AH55))</f>
        <v/>
      </c>
      <c r="AJ55" s="5" t="n"/>
    </row>
    <row r="56">
      <c r="A56" s="5" t="n"/>
      <c r="B56" s="5" t="n"/>
      <c r="C56" s="5" t="n"/>
      <c r="D56" s="5">
        <f>IF(AND(B56&lt;&gt;"",C56&lt;&gt;""),C56-B56+1,"")</f>
        <v/>
      </c>
      <c r="E56" s="5">
        <f>IF(B56&lt;&gt;"",YEAR(B56),"")</f>
        <v/>
      </c>
      <c r="F56" s="6" t="n"/>
      <c r="G56" s="6" t="n"/>
      <c r="H56" s="6" t="n"/>
      <c r="I56" s="5">
        <f>IF(H56="","",IFERROR(INDEX(Szabályok!$B$13:$B$200,MATCH(H56,Szabályok!$A$13:$A$200,0)),""))</f>
        <v/>
      </c>
      <c r="J56" s="5">
        <f>IF(H56="","",IFERROR(INDEX(Szabályok!$C$13:$C$200,MATCH(H56,Szabályok!$A$13:$A$200,0)),""))</f>
        <v/>
      </c>
      <c r="K56" s="5">
        <f>IF(H56="","",IFERROR(INDEX(Szabályok!$D$13:$D$200,MATCH(H56,Szabályok!$A$13:$A$200,0)),""))</f>
        <v/>
      </c>
      <c r="L56" s="5">
        <f>IF(H56="","",IFERROR(INDEX(Szabályok!$E$13:$E$200,MATCH(H56,Szabályok!$A$13:$A$200,0)),""))</f>
        <v/>
      </c>
      <c r="M56" s="5">
        <f>IF(H56="","",IFERROR(INDEX(Szabályok!$F$13:$F$200,MATCH(H56,Szabályok!$A$13:$A$200,0)),""))</f>
        <v/>
      </c>
      <c r="N56" s="5">
        <f>IF(H56="","",IFERROR(INDEX(Szabályok!$G$13:$G$200,MATCH(H56,Szabályok!$A$13:$A$200,0)),""))</f>
        <v/>
      </c>
      <c r="O56" s="5">
        <f>IF(H56="","",IFERROR(INDEX(Szabályok!$H$13:$H$200,MATCH(H56,Szabályok!$A$13:$A$200,0)),""))</f>
        <v/>
      </c>
      <c r="P56" s="5" t="n"/>
      <c r="Q56" s="6" t="n"/>
      <c r="R56" s="6" t="n"/>
      <c r="S56" s="6">
        <f>IF(COUNT(Q56:R56)=0,"",SUM(Q56:R56))</f>
        <v/>
      </c>
      <c r="T56" s="6" t="n"/>
      <c r="U56" s="5">
        <f>IF(T56="","",IF(L56&lt;&gt;"IGEN","IGEN",IF(S56&gt;=T56,"IGEN","NEM")))</f>
        <v/>
      </c>
      <c r="V56" s="5" t="n"/>
      <c r="W56" s="5" t="n"/>
      <c r="X56" s="5" t="n"/>
      <c r="Y56" s="5" t="n"/>
      <c r="Z56" s="5">
        <f>IF(X56="","",IF(COUNTIFS($X$5:$X$304,X56,$I$5:$I$304,"&lt;"&amp;I56)=0,I56,""))</f>
        <v/>
      </c>
      <c r="AA56" s="5">
        <f>IF(X56="","",IF(COUNTIFS($X$5:$X$304,X56,$I$5:$I$304,"&lt;"&amp;I56)&gt;0,"NEM",IF(COUNTIFS($X$5:$X$304,X56,$I$5:$I$304,I56)=1,"IGEN",IF(Y56=1,"IGEN","NEM"))))</f>
        <v/>
      </c>
      <c r="AB56" s="5">
        <f>IF(OR(I56="",J56=""),"",IF(OR(I56=0,V56="IGEN",W56="IGEN"),"X",IF(AND(K56&lt;&gt;"IGEN",L56="IGEN",U56="NEM"),"X",IF(AA56="IGEN",J56,"X"))))</f>
        <v/>
      </c>
      <c r="AC56" s="5">
        <f>IF(AB56="X",0,IF(D56="","",D56))</f>
        <v/>
      </c>
      <c r="AD56" s="5">
        <f>IF(AB56="X",IF(D56="","",D56),0)</f>
        <v/>
      </c>
      <c r="AE56" s="6" t="n"/>
      <c r="AF56" s="6">
        <f>IF(E56="","",SUMIFS($AI$5:AI56,$E$5:E56,E56)-AI56)</f>
        <v/>
      </c>
      <c r="AG56" s="6">
        <f>IF(AE56="","",MAX(0,AE56-AF56))</f>
        <v/>
      </c>
      <c r="AH56" s="6">
        <f>IF(S56="","",IF(OR(I56=0,V56="IGEN",W56="IGEN"),0,IF(AND(K56&lt;&gt;"IGEN",L56="IGEN",U56="NEM"),0,S56)))</f>
        <v/>
      </c>
      <c r="AI56" s="6">
        <f>IF(AH56="","",IF(M56="IGEN",MIN(AH56,AG56),AH56))</f>
        <v/>
      </c>
      <c r="AJ56" s="5" t="n"/>
    </row>
    <row r="57">
      <c r="A57" s="5" t="n"/>
      <c r="B57" s="5" t="n"/>
      <c r="C57" s="5" t="n"/>
      <c r="D57" s="5">
        <f>IF(AND(B57&lt;&gt;"",C57&lt;&gt;""),C57-B57+1,"")</f>
        <v/>
      </c>
      <c r="E57" s="5">
        <f>IF(B57&lt;&gt;"",YEAR(B57),"")</f>
        <v/>
      </c>
      <c r="F57" s="6" t="n"/>
      <c r="G57" s="6" t="n"/>
      <c r="H57" s="6" t="n"/>
      <c r="I57" s="5">
        <f>IF(H57="","",IFERROR(INDEX(Szabályok!$B$13:$B$200,MATCH(H57,Szabályok!$A$13:$A$200,0)),""))</f>
        <v/>
      </c>
      <c r="J57" s="5">
        <f>IF(H57="","",IFERROR(INDEX(Szabályok!$C$13:$C$200,MATCH(H57,Szabályok!$A$13:$A$200,0)),""))</f>
        <v/>
      </c>
      <c r="K57" s="5">
        <f>IF(H57="","",IFERROR(INDEX(Szabályok!$D$13:$D$200,MATCH(H57,Szabályok!$A$13:$A$200,0)),""))</f>
        <v/>
      </c>
      <c r="L57" s="5">
        <f>IF(H57="","",IFERROR(INDEX(Szabályok!$E$13:$E$200,MATCH(H57,Szabályok!$A$13:$A$200,0)),""))</f>
        <v/>
      </c>
      <c r="M57" s="5">
        <f>IF(H57="","",IFERROR(INDEX(Szabályok!$F$13:$F$200,MATCH(H57,Szabályok!$A$13:$A$200,0)),""))</f>
        <v/>
      </c>
      <c r="N57" s="5">
        <f>IF(H57="","",IFERROR(INDEX(Szabályok!$G$13:$G$200,MATCH(H57,Szabályok!$A$13:$A$200,0)),""))</f>
        <v/>
      </c>
      <c r="O57" s="5">
        <f>IF(H57="","",IFERROR(INDEX(Szabályok!$H$13:$H$200,MATCH(H57,Szabályok!$A$13:$A$200,0)),""))</f>
        <v/>
      </c>
      <c r="P57" s="5" t="n"/>
      <c r="Q57" s="6" t="n"/>
      <c r="R57" s="6" t="n"/>
      <c r="S57" s="6">
        <f>IF(COUNT(Q57:R57)=0,"",SUM(Q57:R57))</f>
        <v/>
      </c>
      <c r="T57" s="6" t="n"/>
      <c r="U57" s="5">
        <f>IF(T57="","",IF(L57&lt;&gt;"IGEN","IGEN",IF(S57&gt;=T57,"IGEN","NEM")))</f>
        <v/>
      </c>
      <c r="V57" s="5" t="n"/>
      <c r="W57" s="5" t="n"/>
      <c r="X57" s="5" t="n"/>
      <c r="Y57" s="5" t="n"/>
      <c r="Z57" s="5">
        <f>IF(X57="","",IF(COUNTIFS($X$5:$X$304,X57,$I$5:$I$304,"&lt;"&amp;I57)=0,I57,""))</f>
        <v/>
      </c>
      <c r="AA57" s="5">
        <f>IF(X57="","",IF(COUNTIFS($X$5:$X$304,X57,$I$5:$I$304,"&lt;"&amp;I57)&gt;0,"NEM",IF(COUNTIFS($X$5:$X$304,X57,$I$5:$I$304,I57)=1,"IGEN",IF(Y57=1,"IGEN","NEM"))))</f>
        <v/>
      </c>
      <c r="AB57" s="5">
        <f>IF(OR(I57="",J57=""),"",IF(OR(I57=0,V57="IGEN",W57="IGEN"),"X",IF(AND(K57&lt;&gt;"IGEN",L57="IGEN",U57="NEM"),"X",IF(AA57="IGEN",J57,"X"))))</f>
        <v/>
      </c>
      <c r="AC57" s="5">
        <f>IF(AB57="X",0,IF(D57="","",D57))</f>
        <v/>
      </c>
      <c r="AD57" s="5">
        <f>IF(AB57="X",IF(D57="","",D57),0)</f>
        <v/>
      </c>
      <c r="AE57" s="6" t="n"/>
      <c r="AF57" s="6">
        <f>IF(E57="","",SUMIFS($AI$5:AI57,$E$5:E57,E57)-AI57)</f>
        <v/>
      </c>
      <c r="AG57" s="6">
        <f>IF(AE57="","",MAX(0,AE57-AF57))</f>
        <v/>
      </c>
      <c r="AH57" s="6">
        <f>IF(S57="","",IF(OR(I57=0,V57="IGEN",W57="IGEN"),0,IF(AND(K57&lt;&gt;"IGEN",L57="IGEN",U57="NEM"),0,S57)))</f>
        <v/>
      </c>
      <c r="AI57" s="6">
        <f>IF(AH57="","",IF(M57="IGEN",MIN(AH57,AG57),AH57))</f>
        <v/>
      </c>
      <c r="AJ57" s="5" t="n"/>
    </row>
    <row r="58">
      <c r="A58" s="5" t="n"/>
      <c r="B58" s="5" t="n"/>
      <c r="C58" s="5" t="n"/>
      <c r="D58" s="5">
        <f>IF(AND(B58&lt;&gt;"",C58&lt;&gt;""),C58-B58+1,"")</f>
        <v/>
      </c>
      <c r="E58" s="5">
        <f>IF(B58&lt;&gt;"",YEAR(B58),"")</f>
        <v/>
      </c>
      <c r="F58" s="6" t="n"/>
      <c r="G58" s="6" t="n"/>
      <c r="H58" s="6" t="n"/>
      <c r="I58" s="5">
        <f>IF(H58="","",IFERROR(INDEX(Szabályok!$B$13:$B$200,MATCH(H58,Szabályok!$A$13:$A$200,0)),""))</f>
        <v/>
      </c>
      <c r="J58" s="5">
        <f>IF(H58="","",IFERROR(INDEX(Szabályok!$C$13:$C$200,MATCH(H58,Szabályok!$A$13:$A$200,0)),""))</f>
        <v/>
      </c>
      <c r="K58" s="5">
        <f>IF(H58="","",IFERROR(INDEX(Szabályok!$D$13:$D$200,MATCH(H58,Szabályok!$A$13:$A$200,0)),""))</f>
        <v/>
      </c>
      <c r="L58" s="5">
        <f>IF(H58="","",IFERROR(INDEX(Szabályok!$E$13:$E$200,MATCH(H58,Szabályok!$A$13:$A$200,0)),""))</f>
        <v/>
      </c>
      <c r="M58" s="5">
        <f>IF(H58="","",IFERROR(INDEX(Szabályok!$F$13:$F$200,MATCH(H58,Szabályok!$A$13:$A$200,0)),""))</f>
        <v/>
      </c>
      <c r="N58" s="5">
        <f>IF(H58="","",IFERROR(INDEX(Szabályok!$G$13:$G$200,MATCH(H58,Szabályok!$A$13:$A$200,0)),""))</f>
        <v/>
      </c>
      <c r="O58" s="5">
        <f>IF(H58="","",IFERROR(INDEX(Szabályok!$H$13:$H$200,MATCH(H58,Szabályok!$A$13:$A$200,0)),""))</f>
        <v/>
      </c>
      <c r="P58" s="5" t="n"/>
      <c r="Q58" s="6" t="n"/>
      <c r="R58" s="6" t="n"/>
      <c r="S58" s="6">
        <f>IF(COUNT(Q58:R58)=0,"",SUM(Q58:R58))</f>
        <v/>
      </c>
      <c r="T58" s="6" t="n"/>
      <c r="U58" s="5">
        <f>IF(T58="","",IF(L58&lt;&gt;"IGEN","IGEN",IF(S58&gt;=T58,"IGEN","NEM")))</f>
        <v/>
      </c>
      <c r="V58" s="5" t="n"/>
      <c r="W58" s="5" t="n"/>
      <c r="X58" s="5" t="n"/>
      <c r="Y58" s="5" t="n"/>
      <c r="Z58" s="5">
        <f>IF(X58="","",IF(COUNTIFS($X$5:$X$304,X58,$I$5:$I$304,"&lt;"&amp;I58)=0,I58,""))</f>
        <v/>
      </c>
      <c r="AA58" s="5">
        <f>IF(X58="","",IF(COUNTIFS($X$5:$X$304,X58,$I$5:$I$304,"&lt;"&amp;I58)&gt;0,"NEM",IF(COUNTIFS($X$5:$X$304,X58,$I$5:$I$304,I58)=1,"IGEN",IF(Y58=1,"IGEN","NEM"))))</f>
        <v/>
      </c>
      <c r="AB58" s="5">
        <f>IF(OR(I58="",J58=""),"",IF(OR(I58=0,V58="IGEN",W58="IGEN"),"X",IF(AND(K58&lt;&gt;"IGEN",L58="IGEN",U58="NEM"),"X",IF(AA58="IGEN",J58,"X"))))</f>
        <v/>
      </c>
      <c r="AC58" s="5">
        <f>IF(AB58="X",0,IF(D58="","",D58))</f>
        <v/>
      </c>
      <c r="AD58" s="5">
        <f>IF(AB58="X",IF(D58="","",D58),0)</f>
        <v/>
      </c>
      <c r="AE58" s="6" t="n"/>
      <c r="AF58" s="6">
        <f>IF(E58="","",SUMIFS($AI$5:AI58,$E$5:E58,E58)-AI58)</f>
        <v/>
      </c>
      <c r="AG58" s="6">
        <f>IF(AE58="","",MAX(0,AE58-AF58))</f>
        <v/>
      </c>
      <c r="AH58" s="6">
        <f>IF(S58="","",IF(OR(I58=0,V58="IGEN",W58="IGEN"),0,IF(AND(K58&lt;&gt;"IGEN",L58="IGEN",U58="NEM"),0,S58)))</f>
        <v/>
      </c>
      <c r="AI58" s="6">
        <f>IF(AH58="","",IF(M58="IGEN",MIN(AH58,AG58),AH58))</f>
        <v/>
      </c>
      <c r="AJ58" s="5" t="n"/>
    </row>
    <row r="59">
      <c r="A59" s="5" t="n"/>
      <c r="B59" s="5" t="n"/>
      <c r="C59" s="5" t="n"/>
      <c r="D59" s="5">
        <f>IF(AND(B59&lt;&gt;"",C59&lt;&gt;""),C59-B59+1,"")</f>
        <v/>
      </c>
      <c r="E59" s="5">
        <f>IF(B59&lt;&gt;"",YEAR(B59),"")</f>
        <v/>
      </c>
      <c r="F59" s="6" t="n"/>
      <c r="G59" s="6" t="n"/>
      <c r="H59" s="6" t="n"/>
      <c r="I59" s="5">
        <f>IF(H59="","",IFERROR(INDEX(Szabályok!$B$13:$B$200,MATCH(H59,Szabályok!$A$13:$A$200,0)),""))</f>
        <v/>
      </c>
      <c r="J59" s="5">
        <f>IF(H59="","",IFERROR(INDEX(Szabályok!$C$13:$C$200,MATCH(H59,Szabályok!$A$13:$A$200,0)),""))</f>
        <v/>
      </c>
      <c r="K59" s="5">
        <f>IF(H59="","",IFERROR(INDEX(Szabályok!$D$13:$D$200,MATCH(H59,Szabályok!$A$13:$A$200,0)),""))</f>
        <v/>
      </c>
      <c r="L59" s="5">
        <f>IF(H59="","",IFERROR(INDEX(Szabályok!$E$13:$E$200,MATCH(H59,Szabályok!$A$13:$A$200,0)),""))</f>
        <v/>
      </c>
      <c r="M59" s="5">
        <f>IF(H59="","",IFERROR(INDEX(Szabályok!$F$13:$F$200,MATCH(H59,Szabályok!$A$13:$A$200,0)),""))</f>
        <v/>
      </c>
      <c r="N59" s="5">
        <f>IF(H59="","",IFERROR(INDEX(Szabályok!$G$13:$G$200,MATCH(H59,Szabályok!$A$13:$A$200,0)),""))</f>
        <v/>
      </c>
      <c r="O59" s="5">
        <f>IF(H59="","",IFERROR(INDEX(Szabályok!$H$13:$H$200,MATCH(H59,Szabályok!$A$13:$A$200,0)),""))</f>
        <v/>
      </c>
      <c r="P59" s="5" t="n"/>
      <c r="Q59" s="6" t="n"/>
      <c r="R59" s="6" t="n"/>
      <c r="S59" s="6">
        <f>IF(COUNT(Q59:R59)=0,"",SUM(Q59:R59))</f>
        <v/>
      </c>
      <c r="T59" s="6" t="n"/>
      <c r="U59" s="5">
        <f>IF(T59="","",IF(L59&lt;&gt;"IGEN","IGEN",IF(S59&gt;=T59,"IGEN","NEM")))</f>
        <v/>
      </c>
      <c r="V59" s="5" t="n"/>
      <c r="W59" s="5" t="n"/>
      <c r="X59" s="5" t="n"/>
      <c r="Y59" s="5" t="n"/>
      <c r="Z59" s="5">
        <f>IF(X59="","",IF(COUNTIFS($X$5:$X$304,X59,$I$5:$I$304,"&lt;"&amp;I59)=0,I59,""))</f>
        <v/>
      </c>
      <c r="AA59" s="5">
        <f>IF(X59="","",IF(COUNTIFS($X$5:$X$304,X59,$I$5:$I$304,"&lt;"&amp;I59)&gt;0,"NEM",IF(COUNTIFS($X$5:$X$304,X59,$I$5:$I$304,I59)=1,"IGEN",IF(Y59=1,"IGEN","NEM"))))</f>
        <v/>
      </c>
      <c r="AB59" s="5">
        <f>IF(OR(I59="",J59=""),"",IF(OR(I59=0,V59="IGEN",W59="IGEN"),"X",IF(AND(K59&lt;&gt;"IGEN",L59="IGEN",U59="NEM"),"X",IF(AA59="IGEN",J59,"X"))))</f>
        <v/>
      </c>
      <c r="AC59" s="5">
        <f>IF(AB59="X",0,IF(D59="","",D59))</f>
        <v/>
      </c>
      <c r="AD59" s="5">
        <f>IF(AB59="X",IF(D59="","",D59),0)</f>
        <v/>
      </c>
      <c r="AE59" s="6" t="n"/>
      <c r="AF59" s="6">
        <f>IF(E59="","",SUMIFS($AI$5:AI59,$E$5:E59,E59)-AI59)</f>
        <v/>
      </c>
      <c r="AG59" s="6">
        <f>IF(AE59="","",MAX(0,AE59-AF59))</f>
        <v/>
      </c>
      <c r="AH59" s="6">
        <f>IF(S59="","",IF(OR(I59=0,V59="IGEN",W59="IGEN"),0,IF(AND(K59&lt;&gt;"IGEN",L59="IGEN",U59="NEM"),0,S59)))</f>
        <v/>
      </c>
      <c r="AI59" s="6">
        <f>IF(AH59="","",IF(M59="IGEN",MIN(AH59,AG59),AH59))</f>
        <v/>
      </c>
      <c r="AJ59" s="5" t="n"/>
    </row>
    <row r="60">
      <c r="A60" s="5" t="n"/>
      <c r="B60" s="5" t="n"/>
      <c r="C60" s="5" t="n"/>
      <c r="D60" s="5">
        <f>IF(AND(B60&lt;&gt;"",C60&lt;&gt;""),C60-B60+1,"")</f>
        <v/>
      </c>
      <c r="E60" s="5">
        <f>IF(B60&lt;&gt;"",YEAR(B60),"")</f>
        <v/>
      </c>
      <c r="F60" s="6" t="n"/>
      <c r="G60" s="6" t="n"/>
      <c r="H60" s="6" t="n"/>
      <c r="I60" s="5">
        <f>IF(H60="","",IFERROR(INDEX(Szabályok!$B$13:$B$200,MATCH(H60,Szabályok!$A$13:$A$200,0)),""))</f>
        <v/>
      </c>
      <c r="J60" s="5">
        <f>IF(H60="","",IFERROR(INDEX(Szabályok!$C$13:$C$200,MATCH(H60,Szabályok!$A$13:$A$200,0)),""))</f>
        <v/>
      </c>
      <c r="K60" s="5">
        <f>IF(H60="","",IFERROR(INDEX(Szabályok!$D$13:$D$200,MATCH(H60,Szabályok!$A$13:$A$200,0)),""))</f>
        <v/>
      </c>
      <c r="L60" s="5">
        <f>IF(H60="","",IFERROR(INDEX(Szabályok!$E$13:$E$200,MATCH(H60,Szabályok!$A$13:$A$200,0)),""))</f>
        <v/>
      </c>
      <c r="M60" s="5">
        <f>IF(H60="","",IFERROR(INDEX(Szabályok!$F$13:$F$200,MATCH(H60,Szabályok!$A$13:$A$200,0)),""))</f>
        <v/>
      </c>
      <c r="N60" s="5">
        <f>IF(H60="","",IFERROR(INDEX(Szabályok!$G$13:$G$200,MATCH(H60,Szabályok!$A$13:$A$200,0)),""))</f>
        <v/>
      </c>
      <c r="O60" s="5">
        <f>IF(H60="","",IFERROR(INDEX(Szabályok!$H$13:$H$200,MATCH(H60,Szabályok!$A$13:$A$200,0)),""))</f>
        <v/>
      </c>
      <c r="P60" s="5" t="n"/>
      <c r="Q60" s="6" t="n"/>
      <c r="R60" s="6" t="n"/>
      <c r="S60" s="6">
        <f>IF(COUNT(Q60:R60)=0,"",SUM(Q60:R60))</f>
        <v/>
      </c>
      <c r="T60" s="6" t="n"/>
      <c r="U60" s="5">
        <f>IF(T60="","",IF(L60&lt;&gt;"IGEN","IGEN",IF(S60&gt;=T60,"IGEN","NEM")))</f>
        <v/>
      </c>
      <c r="V60" s="5" t="n"/>
      <c r="W60" s="5" t="n"/>
      <c r="X60" s="5" t="n"/>
      <c r="Y60" s="5" t="n"/>
      <c r="Z60" s="5">
        <f>IF(X60="","",IF(COUNTIFS($X$5:$X$304,X60,$I$5:$I$304,"&lt;"&amp;I60)=0,I60,""))</f>
        <v/>
      </c>
      <c r="AA60" s="5">
        <f>IF(X60="","",IF(COUNTIFS($X$5:$X$304,X60,$I$5:$I$304,"&lt;"&amp;I60)&gt;0,"NEM",IF(COUNTIFS($X$5:$X$304,X60,$I$5:$I$304,I60)=1,"IGEN",IF(Y60=1,"IGEN","NEM"))))</f>
        <v/>
      </c>
      <c r="AB60" s="5">
        <f>IF(OR(I60="",J60=""),"",IF(OR(I60=0,V60="IGEN",W60="IGEN"),"X",IF(AND(K60&lt;&gt;"IGEN",L60="IGEN",U60="NEM"),"X",IF(AA60="IGEN",J60,"X"))))</f>
        <v/>
      </c>
      <c r="AC60" s="5">
        <f>IF(AB60="X",0,IF(D60="","",D60))</f>
        <v/>
      </c>
      <c r="AD60" s="5">
        <f>IF(AB60="X",IF(D60="","",D60),0)</f>
        <v/>
      </c>
      <c r="AE60" s="6" t="n"/>
      <c r="AF60" s="6">
        <f>IF(E60="","",SUMIFS($AI$5:AI60,$E$5:E60,E60)-AI60)</f>
        <v/>
      </c>
      <c r="AG60" s="6">
        <f>IF(AE60="","",MAX(0,AE60-AF60))</f>
        <v/>
      </c>
      <c r="AH60" s="6">
        <f>IF(S60="","",IF(OR(I60=0,V60="IGEN",W60="IGEN"),0,IF(AND(K60&lt;&gt;"IGEN",L60="IGEN",U60="NEM"),0,S60)))</f>
        <v/>
      </c>
      <c r="AI60" s="6">
        <f>IF(AH60="","",IF(M60="IGEN",MIN(AH60,AG60),AH60))</f>
        <v/>
      </c>
      <c r="AJ60" s="5" t="n"/>
    </row>
    <row r="61">
      <c r="A61" s="5" t="n"/>
      <c r="B61" s="5" t="n"/>
      <c r="C61" s="5" t="n"/>
      <c r="D61" s="5">
        <f>IF(AND(B61&lt;&gt;"",C61&lt;&gt;""),C61-B61+1,"")</f>
        <v/>
      </c>
      <c r="E61" s="5">
        <f>IF(B61&lt;&gt;"",YEAR(B61),"")</f>
        <v/>
      </c>
      <c r="F61" s="6" t="n"/>
      <c r="G61" s="6" t="n"/>
      <c r="H61" s="6" t="n"/>
      <c r="I61" s="5">
        <f>IF(H61="","",IFERROR(INDEX(Szabályok!$B$13:$B$200,MATCH(H61,Szabályok!$A$13:$A$200,0)),""))</f>
        <v/>
      </c>
      <c r="J61" s="5">
        <f>IF(H61="","",IFERROR(INDEX(Szabályok!$C$13:$C$200,MATCH(H61,Szabályok!$A$13:$A$200,0)),""))</f>
        <v/>
      </c>
      <c r="K61" s="5">
        <f>IF(H61="","",IFERROR(INDEX(Szabályok!$D$13:$D$200,MATCH(H61,Szabályok!$A$13:$A$200,0)),""))</f>
        <v/>
      </c>
      <c r="L61" s="5">
        <f>IF(H61="","",IFERROR(INDEX(Szabályok!$E$13:$E$200,MATCH(H61,Szabályok!$A$13:$A$200,0)),""))</f>
        <v/>
      </c>
      <c r="M61" s="5">
        <f>IF(H61="","",IFERROR(INDEX(Szabályok!$F$13:$F$200,MATCH(H61,Szabályok!$A$13:$A$200,0)),""))</f>
        <v/>
      </c>
      <c r="N61" s="5">
        <f>IF(H61="","",IFERROR(INDEX(Szabályok!$G$13:$G$200,MATCH(H61,Szabályok!$A$13:$A$200,0)),""))</f>
        <v/>
      </c>
      <c r="O61" s="5">
        <f>IF(H61="","",IFERROR(INDEX(Szabályok!$H$13:$H$200,MATCH(H61,Szabályok!$A$13:$A$200,0)),""))</f>
        <v/>
      </c>
      <c r="P61" s="5" t="n"/>
      <c r="Q61" s="6" t="n"/>
      <c r="R61" s="6" t="n"/>
      <c r="S61" s="6">
        <f>IF(COUNT(Q61:R61)=0,"",SUM(Q61:R61))</f>
        <v/>
      </c>
      <c r="T61" s="6" t="n"/>
      <c r="U61" s="5">
        <f>IF(T61="","",IF(L61&lt;&gt;"IGEN","IGEN",IF(S61&gt;=T61,"IGEN","NEM")))</f>
        <v/>
      </c>
      <c r="V61" s="5" t="n"/>
      <c r="W61" s="5" t="n"/>
      <c r="X61" s="5" t="n"/>
      <c r="Y61" s="5" t="n"/>
      <c r="Z61" s="5">
        <f>IF(X61="","",IF(COUNTIFS($X$5:$X$304,X61,$I$5:$I$304,"&lt;"&amp;I61)=0,I61,""))</f>
        <v/>
      </c>
      <c r="AA61" s="5">
        <f>IF(X61="","",IF(COUNTIFS($X$5:$X$304,X61,$I$5:$I$304,"&lt;"&amp;I61)&gt;0,"NEM",IF(COUNTIFS($X$5:$X$304,X61,$I$5:$I$304,I61)=1,"IGEN",IF(Y61=1,"IGEN","NEM"))))</f>
        <v/>
      </c>
      <c r="AB61" s="5">
        <f>IF(OR(I61="",J61=""),"",IF(OR(I61=0,V61="IGEN",W61="IGEN"),"X",IF(AND(K61&lt;&gt;"IGEN",L61="IGEN",U61="NEM"),"X",IF(AA61="IGEN",J61,"X"))))</f>
        <v/>
      </c>
      <c r="AC61" s="5">
        <f>IF(AB61="X",0,IF(D61="","",D61))</f>
        <v/>
      </c>
      <c r="AD61" s="5">
        <f>IF(AB61="X",IF(D61="","",D61),0)</f>
        <v/>
      </c>
      <c r="AE61" s="6" t="n"/>
      <c r="AF61" s="6">
        <f>IF(E61="","",SUMIFS($AI$5:AI61,$E$5:E61,E61)-AI61)</f>
        <v/>
      </c>
      <c r="AG61" s="6">
        <f>IF(AE61="","",MAX(0,AE61-AF61))</f>
        <v/>
      </c>
      <c r="AH61" s="6">
        <f>IF(S61="","",IF(OR(I61=0,V61="IGEN",W61="IGEN"),0,IF(AND(K61&lt;&gt;"IGEN",L61="IGEN",U61="NEM"),0,S61)))</f>
        <v/>
      </c>
      <c r="AI61" s="6">
        <f>IF(AH61="","",IF(M61="IGEN",MIN(AH61,AG61),AH61))</f>
        <v/>
      </c>
      <c r="AJ61" s="5" t="n"/>
    </row>
    <row r="62">
      <c r="A62" s="5" t="n"/>
      <c r="B62" s="5" t="n"/>
      <c r="C62" s="5" t="n"/>
      <c r="D62" s="5">
        <f>IF(AND(B62&lt;&gt;"",C62&lt;&gt;""),C62-B62+1,"")</f>
        <v/>
      </c>
      <c r="E62" s="5">
        <f>IF(B62&lt;&gt;"",YEAR(B62),"")</f>
        <v/>
      </c>
      <c r="F62" s="6" t="n"/>
      <c r="G62" s="6" t="n"/>
      <c r="H62" s="6" t="n"/>
      <c r="I62" s="5">
        <f>IF(H62="","",IFERROR(INDEX(Szabályok!$B$13:$B$200,MATCH(H62,Szabályok!$A$13:$A$200,0)),""))</f>
        <v/>
      </c>
      <c r="J62" s="5">
        <f>IF(H62="","",IFERROR(INDEX(Szabályok!$C$13:$C$200,MATCH(H62,Szabályok!$A$13:$A$200,0)),""))</f>
        <v/>
      </c>
      <c r="K62" s="5">
        <f>IF(H62="","",IFERROR(INDEX(Szabályok!$D$13:$D$200,MATCH(H62,Szabályok!$A$13:$A$200,0)),""))</f>
        <v/>
      </c>
      <c r="L62" s="5">
        <f>IF(H62="","",IFERROR(INDEX(Szabályok!$E$13:$E$200,MATCH(H62,Szabályok!$A$13:$A$200,0)),""))</f>
        <v/>
      </c>
      <c r="M62" s="5">
        <f>IF(H62="","",IFERROR(INDEX(Szabályok!$F$13:$F$200,MATCH(H62,Szabályok!$A$13:$A$200,0)),""))</f>
        <v/>
      </c>
      <c r="N62" s="5">
        <f>IF(H62="","",IFERROR(INDEX(Szabályok!$G$13:$G$200,MATCH(H62,Szabályok!$A$13:$A$200,0)),""))</f>
        <v/>
      </c>
      <c r="O62" s="5">
        <f>IF(H62="","",IFERROR(INDEX(Szabályok!$H$13:$H$200,MATCH(H62,Szabályok!$A$13:$A$200,0)),""))</f>
        <v/>
      </c>
      <c r="P62" s="5" t="n"/>
      <c r="Q62" s="6" t="n"/>
      <c r="R62" s="6" t="n"/>
      <c r="S62" s="6">
        <f>IF(COUNT(Q62:R62)=0,"",SUM(Q62:R62))</f>
        <v/>
      </c>
      <c r="T62" s="6" t="n"/>
      <c r="U62" s="5">
        <f>IF(T62="","",IF(L62&lt;&gt;"IGEN","IGEN",IF(S62&gt;=T62,"IGEN","NEM")))</f>
        <v/>
      </c>
      <c r="V62" s="5" t="n"/>
      <c r="W62" s="5" t="n"/>
      <c r="X62" s="5" t="n"/>
      <c r="Y62" s="5" t="n"/>
      <c r="Z62" s="5">
        <f>IF(X62="","",IF(COUNTIFS($X$5:$X$304,X62,$I$5:$I$304,"&lt;"&amp;I62)=0,I62,""))</f>
        <v/>
      </c>
      <c r="AA62" s="5">
        <f>IF(X62="","",IF(COUNTIFS($X$5:$X$304,X62,$I$5:$I$304,"&lt;"&amp;I62)&gt;0,"NEM",IF(COUNTIFS($X$5:$X$304,X62,$I$5:$I$304,I62)=1,"IGEN",IF(Y62=1,"IGEN","NEM"))))</f>
        <v/>
      </c>
      <c r="AB62" s="5">
        <f>IF(OR(I62="",J62=""),"",IF(OR(I62=0,V62="IGEN",W62="IGEN"),"X",IF(AND(K62&lt;&gt;"IGEN",L62="IGEN",U62="NEM"),"X",IF(AA62="IGEN",J62,"X"))))</f>
        <v/>
      </c>
      <c r="AC62" s="5">
        <f>IF(AB62="X",0,IF(D62="","",D62))</f>
        <v/>
      </c>
      <c r="AD62" s="5">
        <f>IF(AB62="X",IF(D62="","",D62),0)</f>
        <v/>
      </c>
      <c r="AE62" s="6" t="n"/>
      <c r="AF62" s="6">
        <f>IF(E62="","",SUMIFS($AI$5:AI62,$E$5:E62,E62)-AI62)</f>
        <v/>
      </c>
      <c r="AG62" s="6">
        <f>IF(AE62="","",MAX(0,AE62-AF62))</f>
        <v/>
      </c>
      <c r="AH62" s="6">
        <f>IF(S62="","",IF(OR(I62=0,V62="IGEN",W62="IGEN"),0,IF(AND(K62&lt;&gt;"IGEN",L62="IGEN",U62="NEM"),0,S62)))</f>
        <v/>
      </c>
      <c r="AI62" s="6">
        <f>IF(AH62="","",IF(M62="IGEN",MIN(AH62,AG62),AH62))</f>
        <v/>
      </c>
      <c r="AJ62" s="5" t="n"/>
    </row>
    <row r="63">
      <c r="A63" s="5" t="n"/>
      <c r="B63" s="5" t="n"/>
      <c r="C63" s="5" t="n"/>
      <c r="D63" s="5">
        <f>IF(AND(B63&lt;&gt;"",C63&lt;&gt;""),C63-B63+1,"")</f>
        <v/>
      </c>
      <c r="E63" s="5">
        <f>IF(B63&lt;&gt;"",YEAR(B63),"")</f>
        <v/>
      </c>
      <c r="F63" s="6" t="n"/>
      <c r="G63" s="6" t="n"/>
      <c r="H63" s="6" t="n"/>
      <c r="I63" s="5">
        <f>IF(H63="","",IFERROR(INDEX(Szabályok!$B$13:$B$200,MATCH(H63,Szabályok!$A$13:$A$200,0)),""))</f>
        <v/>
      </c>
      <c r="J63" s="5">
        <f>IF(H63="","",IFERROR(INDEX(Szabályok!$C$13:$C$200,MATCH(H63,Szabályok!$A$13:$A$200,0)),""))</f>
        <v/>
      </c>
      <c r="K63" s="5">
        <f>IF(H63="","",IFERROR(INDEX(Szabályok!$D$13:$D$200,MATCH(H63,Szabályok!$A$13:$A$200,0)),""))</f>
        <v/>
      </c>
      <c r="L63" s="5">
        <f>IF(H63="","",IFERROR(INDEX(Szabályok!$E$13:$E$200,MATCH(H63,Szabályok!$A$13:$A$200,0)),""))</f>
        <v/>
      </c>
      <c r="M63" s="5">
        <f>IF(H63="","",IFERROR(INDEX(Szabályok!$F$13:$F$200,MATCH(H63,Szabályok!$A$13:$A$200,0)),""))</f>
        <v/>
      </c>
      <c r="N63" s="5">
        <f>IF(H63="","",IFERROR(INDEX(Szabályok!$G$13:$G$200,MATCH(H63,Szabályok!$A$13:$A$200,0)),""))</f>
        <v/>
      </c>
      <c r="O63" s="5">
        <f>IF(H63="","",IFERROR(INDEX(Szabályok!$H$13:$H$200,MATCH(H63,Szabályok!$A$13:$A$200,0)),""))</f>
        <v/>
      </c>
      <c r="P63" s="5" t="n"/>
      <c r="Q63" s="6" t="n"/>
      <c r="R63" s="6" t="n"/>
      <c r="S63" s="6">
        <f>IF(COUNT(Q63:R63)=0,"",SUM(Q63:R63))</f>
        <v/>
      </c>
      <c r="T63" s="6" t="n"/>
      <c r="U63" s="5">
        <f>IF(T63="","",IF(L63&lt;&gt;"IGEN","IGEN",IF(S63&gt;=T63,"IGEN","NEM")))</f>
        <v/>
      </c>
      <c r="V63" s="5" t="n"/>
      <c r="W63" s="5" t="n"/>
      <c r="X63" s="5" t="n"/>
      <c r="Y63" s="5" t="n"/>
      <c r="Z63" s="5">
        <f>IF(X63="","",IF(COUNTIFS($X$5:$X$304,X63,$I$5:$I$304,"&lt;"&amp;I63)=0,I63,""))</f>
        <v/>
      </c>
      <c r="AA63" s="5">
        <f>IF(X63="","",IF(COUNTIFS($X$5:$X$304,X63,$I$5:$I$304,"&lt;"&amp;I63)&gt;0,"NEM",IF(COUNTIFS($X$5:$X$304,X63,$I$5:$I$304,I63)=1,"IGEN",IF(Y63=1,"IGEN","NEM"))))</f>
        <v/>
      </c>
      <c r="AB63" s="5">
        <f>IF(OR(I63="",J63=""),"",IF(OR(I63=0,V63="IGEN",W63="IGEN"),"X",IF(AND(K63&lt;&gt;"IGEN",L63="IGEN",U63="NEM"),"X",IF(AA63="IGEN",J63,"X"))))</f>
        <v/>
      </c>
      <c r="AC63" s="5">
        <f>IF(AB63="X",0,IF(D63="","",D63))</f>
        <v/>
      </c>
      <c r="AD63" s="5">
        <f>IF(AB63="X",IF(D63="","",D63),0)</f>
        <v/>
      </c>
      <c r="AE63" s="6" t="n"/>
      <c r="AF63" s="6">
        <f>IF(E63="","",SUMIFS($AI$5:AI63,$E$5:E63,E63)-AI63)</f>
        <v/>
      </c>
      <c r="AG63" s="6">
        <f>IF(AE63="","",MAX(0,AE63-AF63))</f>
        <v/>
      </c>
      <c r="AH63" s="6">
        <f>IF(S63="","",IF(OR(I63=0,V63="IGEN",W63="IGEN"),0,IF(AND(K63&lt;&gt;"IGEN",L63="IGEN",U63="NEM"),0,S63)))</f>
        <v/>
      </c>
      <c r="AI63" s="6">
        <f>IF(AH63="","",IF(M63="IGEN",MIN(AH63,AG63),AH63))</f>
        <v/>
      </c>
      <c r="AJ63" s="5" t="n"/>
    </row>
    <row r="64">
      <c r="A64" s="5" t="n"/>
      <c r="B64" s="5" t="n"/>
      <c r="C64" s="5" t="n"/>
      <c r="D64" s="5">
        <f>IF(AND(B64&lt;&gt;"",C64&lt;&gt;""),C64-B64+1,"")</f>
        <v/>
      </c>
      <c r="E64" s="5">
        <f>IF(B64&lt;&gt;"",YEAR(B64),"")</f>
        <v/>
      </c>
      <c r="F64" s="6" t="n"/>
      <c r="G64" s="6" t="n"/>
      <c r="H64" s="6" t="n"/>
      <c r="I64" s="5">
        <f>IF(H64="","",IFERROR(INDEX(Szabályok!$B$13:$B$200,MATCH(H64,Szabályok!$A$13:$A$200,0)),""))</f>
        <v/>
      </c>
      <c r="J64" s="5">
        <f>IF(H64="","",IFERROR(INDEX(Szabályok!$C$13:$C$200,MATCH(H64,Szabályok!$A$13:$A$200,0)),""))</f>
        <v/>
      </c>
      <c r="K64" s="5">
        <f>IF(H64="","",IFERROR(INDEX(Szabályok!$D$13:$D$200,MATCH(H64,Szabályok!$A$13:$A$200,0)),""))</f>
        <v/>
      </c>
      <c r="L64" s="5">
        <f>IF(H64="","",IFERROR(INDEX(Szabályok!$E$13:$E$200,MATCH(H64,Szabályok!$A$13:$A$200,0)),""))</f>
        <v/>
      </c>
      <c r="M64" s="5">
        <f>IF(H64="","",IFERROR(INDEX(Szabályok!$F$13:$F$200,MATCH(H64,Szabályok!$A$13:$A$200,0)),""))</f>
        <v/>
      </c>
      <c r="N64" s="5">
        <f>IF(H64="","",IFERROR(INDEX(Szabályok!$G$13:$G$200,MATCH(H64,Szabályok!$A$13:$A$200,0)),""))</f>
        <v/>
      </c>
      <c r="O64" s="5">
        <f>IF(H64="","",IFERROR(INDEX(Szabályok!$H$13:$H$200,MATCH(H64,Szabályok!$A$13:$A$200,0)),""))</f>
        <v/>
      </c>
      <c r="P64" s="5" t="n"/>
      <c r="Q64" s="6" t="n"/>
      <c r="R64" s="6" t="n"/>
      <c r="S64" s="6">
        <f>IF(COUNT(Q64:R64)=0,"",SUM(Q64:R64))</f>
        <v/>
      </c>
      <c r="T64" s="6" t="n"/>
      <c r="U64" s="5">
        <f>IF(T64="","",IF(L64&lt;&gt;"IGEN","IGEN",IF(S64&gt;=T64,"IGEN","NEM")))</f>
        <v/>
      </c>
      <c r="V64" s="5" t="n"/>
      <c r="W64" s="5" t="n"/>
      <c r="X64" s="5" t="n"/>
      <c r="Y64" s="5" t="n"/>
      <c r="Z64" s="5">
        <f>IF(X64="","",IF(COUNTIFS($X$5:$X$304,X64,$I$5:$I$304,"&lt;"&amp;I64)=0,I64,""))</f>
        <v/>
      </c>
      <c r="AA64" s="5">
        <f>IF(X64="","",IF(COUNTIFS($X$5:$X$304,X64,$I$5:$I$304,"&lt;"&amp;I64)&gt;0,"NEM",IF(COUNTIFS($X$5:$X$304,X64,$I$5:$I$304,I64)=1,"IGEN",IF(Y64=1,"IGEN","NEM"))))</f>
        <v/>
      </c>
      <c r="AB64" s="5">
        <f>IF(OR(I64="",J64=""),"",IF(OR(I64=0,V64="IGEN",W64="IGEN"),"X",IF(AND(K64&lt;&gt;"IGEN",L64="IGEN",U64="NEM"),"X",IF(AA64="IGEN",J64,"X"))))</f>
        <v/>
      </c>
      <c r="AC64" s="5">
        <f>IF(AB64="X",0,IF(D64="","",D64))</f>
        <v/>
      </c>
      <c r="AD64" s="5">
        <f>IF(AB64="X",IF(D64="","",D64),0)</f>
        <v/>
      </c>
      <c r="AE64" s="6" t="n"/>
      <c r="AF64" s="6">
        <f>IF(E64="","",SUMIFS($AI$5:AI64,$E$5:E64,E64)-AI64)</f>
        <v/>
      </c>
      <c r="AG64" s="6">
        <f>IF(AE64="","",MAX(0,AE64-AF64))</f>
        <v/>
      </c>
      <c r="AH64" s="6">
        <f>IF(S64="","",IF(OR(I64=0,V64="IGEN",W64="IGEN"),0,IF(AND(K64&lt;&gt;"IGEN",L64="IGEN",U64="NEM"),0,S64)))</f>
        <v/>
      </c>
      <c r="AI64" s="6">
        <f>IF(AH64="","",IF(M64="IGEN",MIN(AH64,AG64),AH64))</f>
        <v/>
      </c>
      <c r="AJ64" s="5" t="n"/>
    </row>
    <row r="65">
      <c r="A65" s="5" t="n"/>
      <c r="B65" s="5" t="n"/>
      <c r="C65" s="5" t="n"/>
      <c r="D65" s="5">
        <f>IF(AND(B65&lt;&gt;"",C65&lt;&gt;""),C65-B65+1,"")</f>
        <v/>
      </c>
      <c r="E65" s="5">
        <f>IF(B65&lt;&gt;"",YEAR(B65),"")</f>
        <v/>
      </c>
      <c r="F65" s="6" t="n"/>
      <c r="G65" s="6" t="n"/>
      <c r="H65" s="6" t="n"/>
      <c r="I65" s="5">
        <f>IF(H65="","",IFERROR(INDEX(Szabályok!$B$13:$B$200,MATCH(H65,Szabályok!$A$13:$A$200,0)),""))</f>
        <v/>
      </c>
      <c r="J65" s="5">
        <f>IF(H65="","",IFERROR(INDEX(Szabályok!$C$13:$C$200,MATCH(H65,Szabályok!$A$13:$A$200,0)),""))</f>
        <v/>
      </c>
      <c r="K65" s="5">
        <f>IF(H65="","",IFERROR(INDEX(Szabályok!$D$13:$D$200,MATCH(H65,Szabályok!$A$13:$A$200,0)),""))</f>
        <v/>
      </c>
      <c r="L65" s="5">
        <f>IF(H65="","",IFERROR(INDEX(Szabályok!$E$13:$E$200,MATCH(H65,Szabályok!$A$13:$A$200,0)),""))</f>
        <v/>
      </c>
      <c r="M65" s="5">
        <f>IF(H65="","",IFERROR(INDEX(Szabályok!$F$13:$F$200,MATCH(H65,Szabályok!$A$13:$A$200,0)),""))</f>
        <v/>
      </c>
      <c r="N65" s="5">
        <f>IF(H65="","",IFERROR(INDEX(Szabályok!$G$13:$G$200,MATCH(H65,Szabályok!$A$13:$A$200,0)),""))</f>
        <v/>
      </c>
      <c r="O65" s="5">
        <f>IF(H65="","",IFERROR(INDEX(Szabályok!$H$13:$H$200,MATCH(H65,Szabályok!$A$13:$A$200,0)),""))</f>
        <v/>
      </c>
      <c r="P65" s="5" t="n"/>
      <c r="Q65" s="6" t="n"/>
      <c r="R65" s="6" t="n"/>
      <c r="S65" s="6">
        <f>IF(COUNT(Q65:R65)=0,"",SUM(Q65:R65))</f>
        <v/>
      </c>
      <c r="T65" s="6" t="n"/>
      <c r="U65" s="5">
        <f>IF(T65="","",IF(L65&lt;&gt;"IGEN","IGEN",IF(S65&gt;=T65,"IGEN","NEM")))</f>
        <v/>
      </c>
      <c r="V65" s="5" t="n"/>
      <c r="W65" s="5" t="n"/>
      <c r="X65" s="5" t="n"/>
      <c r="Y65" s="5" t="n"/>
      <c r="Z65" s="5">
        <f>IF(X65="","",IF(COUNTIFS($X$5:$X$304,X65,$I$5:$I$304,"&lt;"&amp;I65)=0,I65,""))</f>
        <v/>
      </c>
      <c r="AA65" s="5">
        <f>IF(X65="","",IF(COUNTIFS($X$5:$X$304,X65,$I$5:$I$304,"&lt;"&amp;I65)&gt;0,"NEM",IF(COUNTIFS($X$5:$X$304,X65,$I$5:$I$304,I65)=1,"IGEN",IF(Y65=1,"IGEN","NEM"))))</f>
        <v/>
      </c>
      <c r="AB65" s="5">
        <f>IF(OR(I65="",J65=""),"",IF(OR(I65=0,V65="IGEN",W65="IGEN"),"X",IF(AND(K65&lt;&gt;"IGEN",L65="IGEN",U65="NEM"),"X",IF(AA65="IGEN",J65,"X"))))</f>
        <v/>
      </c>
      <c r="AC65" s="5">
        <f>IF(AB65="X",0,IF(D65="","",D65))</f>
        <v/>
      </c>
      <c r="AD65" s="5">
        <f>IF(AB65="X",IF(D65="","",D65),0)</f>
        <v/>
      </c>
      <c r="AE65" s="6" t="n"/>
      <c r="AF65" s="6">
        <f>IF(E65="","",SUMIFS($AI$5:AI65,$E$5:E65,E65)-AI65)</f>
        <v/>
      </c>
      <c r="AG65" s="6">
        <f>IF(AE65="","",MAX(0,AE65-AF65))</f>
        <v/>
      </c>
      <c r="AH65" s="6">
        <f>IF(S65="","",IF(OR(I65=0,V65="IGEN",W65="IGEN"),0,IF(AND(K65&lt;&gt;"IGEN",L65="IGEN",U65="NEM"),0,S65)))</f>
        <v/>
      </c>
      <c r="AI65" s="6">
        <f>IF(AH65="","",IF(M65="IGEN",MIN(AH65,AG65),AH65))</f>
        <v/>
      </c>
      <c r="AJ65" s="5" t="n"/>
    </row>
    <row r="66">
      <c r="A66" s="5" t="n"/>
      <c r="B66" s="5" t="n"/>
      <c r="C66" s="5" t="n"/>
      <c r="D66" s="5">
        <f>IF(AND(B66&lt;&gt;"",C66&lt;&gt;""),C66-B66+1,"")</f>
        <v/>
      </c>
      <c r="E66" s="5">
        <f>IF(B66&lt;&gt;"",YEAR(B66),"")</f>
        <v/>
      </c>
      <c r="F66" s="6" t="n"/>
      <c r="G66" s="6" t="n"/>
      <c r="H66" s="6" t="n"/>
      <c r="I66" s="5">
        <f>IF(H66="","",IFERROR(INDEX(Szabályok!$B$13:$B$200,MATCH(H66,Szabályok!$A$13:$A$200,0)),""))</f>
        <v/>
      </c>
      <c r="J66" s="5">
        <f>IF(H66="","",IFERROR(INDEX(Szabályok!$C$13:$C$200,MATCH(H66,Szabályok!$A$13:$A$200,0)),""))</f>
        <v/>
      </c>
      <c r="K66" s="5">
        <f>IF(H66="","",IFERROR(INDEX(Szabályok!$D$13:$D$200,MATCH(H66,Szabályok!$A$13:$A$200,0)),""))</f>
        <v/>
      </c>
      <c r="L66" s="5">
        <f>IF(H66="","",IFERROR(INDEX(Szabályok!$E$13:$E$200,MATCH(H66,Szabályok!$A$13:$A$200,0)),""))</f>
        <v/>
      </c>
      <c r="M66" s="5">
        <f>IF(H66="","",IFERROR(INDEX(Szabályok!$F$13:$F$200,MATCH(H66,Szabályok!$A$13:$A$200,0)),""))</f>
        <v/>
      </c>
      <c r="N66" s="5">
        <f>IF(H66="","",IFERROR(INDEX(Szabályok!$G$13:$G$200,MATCH(H66,Szabályok!$A$13:$A$200,0)),""))</f>
        <v/>
      </c>
      <c r="O66" s="5">
        <f>IF(H66="","",IFERROR(INDEX(Szabályok!$H$13:$H$200,MATCH(H66,Szabályok!$A$13:$A$200,0)),""))</f>
        <v/>
      </c>
      <c r="P66" s="5" t="n"/>
      <c r="Q66" s="6" t="n"/>
      <c r="R66" s="6" t="n"/>
      <c r="S66" s="6">
        <f>IF(COUNT(Q66:R66)=0,"",SUM(Q66:R66))</f>
        <v/>
      </c>
      <c r="T66" s="6" t="n"/>
      <c r="U66" s="5">
        <f>IF(T66="","",IF(L66&lt;&gt;"IGEN","IGEN",IF(S66&gt;=T66,"IGEN","NEM")))</f>
        <v/>
      </c>
      <c r="V66" s="5" t="n"/>
      <c r="W66" s="5" t="n"/>
      <c r="X66" s="5" t="n"/>
      <c r="Y66" s="5" t="n"/>
      <c r="Z66" s="5">
        <f>IF(X66="","",IF(COUNTIFS($X$5:$X$304,X66,$I$5:$I$304,"&lt;"&amp;I66)=0,I66,""))</f>
        <v/>
      </c>
      <c r="AA66" s="5">
        <f>IF(X66="","",IF(COUNTIFS($X$5:$X$304,X66,$I$5:$I$304,"&lt;"&amp;I66)&gt;0,"NEM",IF(COUNTIFS($X$5:$X$304,X66,$I$5:$I$304,I66)=1,"IGEN",IF(Y66=1,"IGEN","NEM"))))</f>
        <v/>
      </c>
      <c r="AB66" s="5">
        <f>IF(OR(I66="",J66=""),"",IF(OR(I66=0,V66="IGEN",W66="IGEN"),"X",IF(AND(K66&lt;&gt;"IGEN",L66="IGEN",U66="NEM"),"X",IF(AA66="IGEN",J66,"X"))))</f>
        <v/>
      </c>
      <c r="AC66" s="5">
        <f>IF(AB66="X",0,IF(D66="","",D66))</f>
        <v/>
      </c>
      <c r="AD66" s="5">
        <f>IF(AB66="X",IF(D66="","",D66),0)</f>
        <v/>
      </c>
      <c r="AE66" s="6" t="n"/>
      <c r="AF66" s="6">
        <f>IF(E66="","",SUMIFS($AI$5:AI66,$E$5:E66,E66)-AI66)</f>
        <v/>
      </c>
      <c r="AG66" s="6">
        <f>IF(AE66="","",MAX(0,AE66-AF66))</f>
        <v/>
      </c>
      <c r="AH66" s="6">
        <f>IF(S66="","",IF(OR(I66=0,V66="IGEN",W66="IGEN"),0,IF(AND(K66&lt;&gt;"IGEN",L66="IGEN",U66="NEM"),0,S66)))</f>
        <v/>
      </c>
      <c r="AI66" s="6">
        <f>IF(AH66="","",IF(M66="IGEN",MIN(AH66,AG66),AH66))</f>
        <v/>
      </c>
      <c r="AJ66" s="5" t="n"/>
    </row>
    <row r="67">
      <c r="A67" s="5" t="n"/>
      <c r="B67" s="5" t="n"/>
      <c r="C67" s="5" t="n"/>
      <c r="D67" s="5">
        <f>IF(AND(B67&lt;&gt;"",C67&lt;&gt;""),C67-B67+1,"")</f>
        <v/>
      </c>
      <c r="E67" s="5">
        <f>IF(B67&lt;&gt;"",YEAR(B67),"")</f>
        <v/>
      </c>
      <c r="F67" s="6" t="n"/>
      <c r="G67" s="6" t="n"/>
      <c r="H67" s="6" t="n"/>
      <c r="I67" s="5">
        <f>IF(H67="","",IFERROR(INDEX(Szabályok!$B$13:$B$200,MATCH(H67,Szabályok!$A$13:$A$200,0)),""))</f>
        <v/>
      </c>
      <c r="J67" s="5">
        <f>IF(H67="","",IFERROR(INDEX(Szabályok!$C$13:$C$200,MATCH(H67,Szabályok!$A$13:$A$200,0)),""))</f>
        <v/>
      </c>
      <c r="K67" s="5">
        <f>IF(H67="","",IFERROR(INDEX(Szabályok!$D$13:$D$200,MATCH(H67,Szabályok!$A$13:$A$200,0)),""))</f>
        <v/>
      </c>
      <c r="L67" s="5">
        <f>IF(H67="","",IFERROR(INDEX(Szabályok!$E$13:$E$200,MATCH(H67,Szabályok!$A$13:$A$200,0)),""))</f>
        <v/>
      </c>
      <c r="M67" s="5">
        <f>IF(H67="","",IFERROR(INDEX(Szabályok!$F$13:$F$200,MATCH(H67,Szabályok!$A$13:$A$200,0)),""))</f>
        <v/>
      </c>
      <c r="N67" s="5">
        <f>IF(H67="","",IFERROR(INDEX(Szabályok!$G$13:$G$200,MATCH(H67,Szabályok!$A$13:$A$200,0)),""))</f>
        <v/>
      </c>
      <c r="O67" s="5">
        <f>IF(H67="","",IFERROR(INDEX(Szabályok!$H$13:$H$200,MATCH(H67,Szabályok!$A$13:$A$200,0)),""))</f>
        <v/>
      </c>
      <c r="P67" s="5" t="n"/>
      <c r="Q67" s="6" t="n"/>
      <c r="R67" s="6" t="n"/>
      <c r="S67" s="6">
        <f>IF(COUNT(Q67:R67)=0,"",SUM(Q67:R67))</f>
        <v/>
      </c>
      <c r="T67" s="6" t="n"/>
      <c r="U67" s="5">
        <f>IF(T67="","",IF(L67&lt;&gt;"IGEN","IGEN",IF(S67&gt;=T67,"IGEN","NEM")))</f>
        <v/>
      </c>
      <c r="V67" s="5" t="n"/>
      <c r="W67" s="5" t="n"/>
      <c r="X67" s="5" t="n"/>
      <c r="Y67" s="5" t="n"/>
      <c r="Z67" s="5">
        <f>IF(X67="","",IF(COUNTIFS($X$5:$X$304,X67,$I$5:$I$304,"&lt;"&amp;I67)=0,I67,""))</f>
        <v/>
      </c>
      <c r="AA67" s="5">
        <f>IF(X67="","",IF(COUNTIFS($X$5:$X$304,X67,$I$5:$I$304,"&lt;"&amp;I67)&gt;0,"NEM",IF(COUNTIFS($X$5:$X$304,X67,$I$5:$I$304,I67)=1,"IGEN",IF(Y67=1,"IGEN","NEM"))))</f>
        <v/>
      </c>
      <c r="AB67" s="5">
        <f>IF(OR(I67="",J67=""),"",IF(OR(I67=0,V67="IGEN",W67="IGEN"),"X",IF(AND(K67&lt;&gt;"IGEN",L67="IGEN",U67="NEM"),"X",IF(AA67="IGEN",J67,"X"))))</f>
        <v/>
      </c>
      <c r="AC67" s="5">
        <f>IF(AB67="X",0,IF(D67="","",D67))</f>
        <v/>
      </c>
      <c r="AD67" s="5">
        <f>IF(AB67="X",IF(D67="","",D67),0)</f>
        <v/>
      </c>
      <c r="AE67" s="6" t="n"/>
      <c r="AF67" s="6">
        <f>IF(E67="","",SUMIFS($AI$5:AI67,$E$5:E67,E67)-AI67)</f>
        <v/>
      </c>
      <c r="AG67" s="6">
        <f>IF(AE67="","",MAX(0,AE67-AF67))</f>
        <v/>
      </c>
      <c r="AH67" s="6">
        <f>IF(S67="","",IF(OR(I67=0,V67="IGEN",W67="IGEN"),0,IF(AND(K67&lt;&gt;"IGEN",L67="IGEN",U67="NEM"),0,S67)))</f>
        <v/>
      </c>
      <c r="AI67" s="6">
        <f>IF(AH67="","",IF(M67="IGEN",MIN(AH67,AG67),AH67))</f>
        <v/>
      </c>
      <c r="AJ67" s="5" t="n"/>
    </row>
    <row r="68">
      <c r="A68" s="5" t="n"/>
      <c r="B68" s="5" t="n"/>
      <c r="C68" s="5" t="n"/>
      <c r="D68" s="5">
        <f>IF(AND(B68&lt;&gt;"",C68&lt;&gt;""),C68-B68+1,"")</f>
        <v/>
      </c>
      <c r="E68" s="5">
        <f>IF(B68&lt;&gt;"",YEAR(B68),"")</f>
        <v/>
      </c>
      <c r="F68" s="6" t="n"/>
      <c r="G68" s="6" t="n"/>
      <c r="H68" s="6" t="n"/>
      <c r="I68" s="5">
        <f>IF(H68="","",IFERROR(INDEX(Szabályok!$B$13:$B$200,MATCH(H68,Szabályok!$A$13:$A$200,0)),""))</f>
        <v/>
      </c>
      <c r="J68" s="5">
        <f>IF(H68="","",IFERROR(INDEX(Szabályok!$C$13:$C$200,MATCH(H68,Szabályok!$A$13:$A$200,0)),""))</f>
        <v/>
      </c>
      <c r="K68" s="5">
        <f>IF(H68="","",IFERROR(INDEX(Szabályok!$D$13:$D$200,MATCH(H68,Szabályok!$A$13:$A$200,0)),""))</f>
        <v/>
      </c>
      <c r="L68" s="5">
        <f>IF(H68="","",IFERROR(INDEX(Szabályok!$E$13:$E$200,MATCH(H68,Szabályok!$A$13:$A$200,0)),""))</f>
        <v/>
      </c>
      <c r="M68" s="5">
        <f>IF(H68="","",IFERROR(INDEX(Szabályok!$F$13:$F$200,MATCH(H68,Szabályok!$A$13:$A$200,0)),""))</f>
        <v/>
      </c>
      <c r="N68" s="5">
        <f>IF(H68="","",IFERROR(INDEX(Szabályok!$G$13:$G$200,MATCH(H68,Szabályok!$A$13:$A$200,0)),""))</f>
        <v/>
      </c>
      <c r="O68" s="5">
        <f>IF(H68="","",IFERROR(INDEX(Szabályok!$H$13:$H$200,MATCH(H68,Szabályok!$A$13:$A$200,0)),""))</f>
        <v/>
      </c>
      <c r="P68" s="5" t="n"/>
      <c r="Q68" s="6" t="n"/>
      <c r="R68" s="6" t="n"/>
      <c r="S68" s="6">
        <f>IF(COUNT(Q68:R68)=0,"",SUM(Q68:R68))</f>
        <v/>
      </c>
      <c r="T68" s="6" t="n"/>
      <c r="U68" s="5">
        <f>IF(T68="","",IF(L68&lt;&gt;"IGEN","IGEN",IF(S68&gt;=T68,"IGEN","NEM")))</f>
        <v/>
      </c>
      <c r="V68" s="5" t="n"/>
      <c r="W68" s="5" t="n"/>
      <c r="X68" s="5" t="n"/>
      <c r="Y68" s="5" t="n"/>
      <c r="Z68" s="5">
        <f>IF(X68="","",IF(COUNTIFS($X$5:$X$304,X68,$I$5:$I$304,"&lt;"&amp;I68)=0,I68,""))</f>
        <v/>
      </c>
      <c r="AA68" s="5">
        <f>IF(X68="","",IF(COUNTIFS($X$5:$X$304,X68,$I$5:$I$304,"&lt;"&amp;I68)&gt;0,"NEM",IF(COUNTIFS($X$5:$X$304,X68,$I$5:$I$304,I68)=1,"IGEN",IF(Y68=1,"IGEN","NEM"))))</f>
        <v/>
      </c>
      <c r="AB68" s="5">
        <f>IF(OR(I68="",J68=""),"",IF(OR(I68=0,V68="IGEN",W68="IGEN"),"X",IF(AND(K68&lt;&gt;"IGEN",L68="IGEN",U68="NEM"),"X",IF(AA68="IGEN",J68,"X"))))</f>
        <v/>
      </c>
      <c r="AC68" s="5">
        <f>IF(AB68="X",0,IF(D68="","",D68))</f>
        <v/>
      </c>
      <c r="AD68" s="5">
        <f>IF(AB68="X",IF(D68="","",D68),0)</f>
        <v/>
      </c>
      <c r="AE68" s="6" t="n"/>
      <c r="AF68" s="6">
        <f>IF(E68="","",SUMIFS($AI$5:AI68,$E$5:E68,E68)-AI68)</f>
        <v/>
      </c>
      <c r="AG68" s="6">
        <f>IF(AE68="","",MAX(0,AE68-AF68))</f>
        <v/>
      </c>
      <c r="AH68" s="6">
        <f>IF(S68="","",IF(OR(I68=0,V68="IGEN",W68="IGEN"),0,IF(AND(K68&lt;&gt;"IGEN",L68="IGEN",U68="NEM"),0,S68)))</f>
        <v/>
      </c>
      <c r="AI68" s="6">
        <f>IF(AH68="","",IF(M68="IGEN",MIN(AH68,AG68),AH68))</f>
        <v/>
      </c>
      <c r="AJ68" s="5" t="n"/>
    </row>
    <row r="69">
      <c r="A69" s="5" t="n"/>
      <c r="B69" s="5" t="n"/>
      <c r="C69" s="5" t="n"/>
      <c r="D69" s="5">
        <f>IF(AND(B69&lt;&gt;"",C69&lt;&gt;""),C69-B69+1,"")</f>
        <v/>
      </c>
      <c r="E69" s="5">
        <f>IF(B69&lt;&gt;"",YEAR(B69),"")</f>
        <v/>
      </c>
      <c r="F69" s="6" t="n"/>
      <c r="G69" s="6" t="n"/>
      <c r="H69" s="6" t="n"/>
      <c r="I69" s="5">
        <f>IF(H69="","",IFERROR(INDEX(Szabályok!$B$13:$B$200,MATCH(H69,Szabályok!$A$13:$A$200,0)),""))</f>
        <v/>
      </c>
      <c r="J69" s="5">
        <f>IF(H69="","",IFERROR(INDEX(Szabályok!$C$13:$C$200,MATCH(H69,Szabályok!$A$13:$A$200,0)),""))</f>
        <v/>
      </c>
      <c r="K69" s="5">
        <f>IF(H69="","",IFERROR(INDEX(Szabályok!$D$13:$D$200,MATCH(H69,Szabályok!$A$13:$A$200,0)),""))</f>
        <v/>
      </c>
      <c r="L69" s="5">
        <f>IF(H69="","",IFERROR(INDEX(Szabályok!$E$13:$E$200,MATCH(H69,Szabályok!$A$13:$A$200,0)),""))</f>
        <v/>
      </c>
      <c r="M69" s="5">
        <f>IF(H69="","",IFERROR(INDEX(Szabályok!$F$13:$F$200,MATCH(H69,Szabályok!$A$13:$A$200,0)),""))</f>
        <v/>
      </c>
      <c r="N69" s="5">
        <f>IF(H69="","",IFERROR(INDEX(Szabályok!$G$13:$G$200,MATCH(H69,Szabályok!$A$13:$A$200,0)),""))</f>
        <v/>
      </c>
      <c r="O69" s="5">
        <f>IF(H69="","",IFERROR(INDEX(Szabályok!$H$13:$H$200,MATCH(H69,Szabályok!$A$13:$A$200,0)),""))</f>
        <v/>
      </c>
      <c r="P69" s="5" t="n"/>
      <c r="Q69" s="6" t="n"/>
      <c r="R69" s="6" t="n"/>
      <c r="S69" s="6">
        <f>IF(COUNT(Q69:R69)=0,"",SUM(Q69:R69))</f>
        <v/>
      </c>
      <c r="T69" s="6" t="n"/>
      <c r="U69" s="5">
        <f>IF(T69="","",IF(L69&lt;&gt;"IGEN","IGEN",IF(S69&gt;=T69,"IGEN","NEM")))</f>
        <v/>
      </c>
      <c r="V69" s="5" t="n"/>
      <c r="W69" s="5" t="n"/>
      <c r="X69" s="5" t="n"/>
      <c r="Y69" s="5" t="n"/>
      <c r="Z69" s="5">
        <f>IF(X69="","",IF(COUNTIFS($X$5:$X$304,X69,$I$5:$I$304,"&lt;"&amp;I69)=0,I69,""))</f>
        <v/>
      </c>
      <c r="AA69" s="5">
        <f>IF(X69="","",IF(COUNTIFS($X$5:$X$304,X69,$I$5:$I$304,"&lt;"&amp;I69)&gt;0,"NEM",IF(COUNTIFS($X$5:$X$304,X69,$I$5:$I$304,I69)=1,"IGEN",IF(Y69=1,"IGEN","NEM"))))</f>
        <v/>
      </c>
      <c r="AB69" s="5">
        <f>IF(OR(I69="",J69=""),"",IF(OR(I69=0,V69="IGEN",W69="IGEN"),"X",IF(AND(K69&lt;&gt;"IGEN",L69="IGEN",U69="NEM"),"X",IF(AA69="IGEN",J69,"X"))))</f>
        <v/>
      </c>
      <c r="AC69" s="5">
        <f>IF(AB69="X",0,IF(D69="","",D69))</f>
        <v/>
      </c>
      <c r="AD69" s="5">
        <f>IF(AB69="X",IF(D69="","",D69),0)</f>
        <v/>
      </c>
      <c r="AE69" s="6" t="n"/>
      <c r="AF69" s="6">
        <f>IF(E69="","",SUMIFS($AI$5:AI69,$E$5:E69,E69)-AI69)</f>
        <v/>
      </c>
      <c r="AG69" s="6">
        <f>IF(AE69="","",MAX(0,AE69-AF69))</f>
        <v/>
      </c>
      <c r="AH69" s="6">
        <f>IF(S69="","",IF(OR(I69=0,V69="IGEN",W69="IGEN"),0,IF(AND(K69&lt;&gt;"IGEN",L69="IGEN",U69="NEM"),0,S69)))</f>
        <v/>
      </c>
      <c r="AI69" s="6">
        <f>IF(AH69="","",IF(M69="IGEN",MIN(AH69,AG69),AH69))</f>
        <v/>
      </c>
      <c r="AJ69" s="5" t="n"/>
    </row>
    <row r="70">
      <c r="A70" s="5" t="n"/>
      <c r="B70" s="5" t="n"/>
      <c r="C70" s="5" t="n"/>
      <c r="D70" s="5">
        <f>IF(AND(B70&lt;&gt;"",C70&lt;&gt;""),C70-B70+1,"")</f>
        <v/>
      </c>
      <c r="E70" s="5">
        <f>IF(B70&lt;&gt;"",YEAR(B70),"")</f>
        <v/>
      </c>
      <c r="F70" s="6" t="n"/>
      <c r="G70" s="6" t="n"/>
      <c r="H70" s="6" t="n"/>
      <c r="I70" s="5">
        <f>IF(H70="","",IFERROR(INDEX(Szabályok!$B$13:$B$200,MATCH(H70,Szabályok!$A$13:$A$200,0)),""))</f>
        <v/>
      </c>
      <c r="J70" s="5">
        <f>IF(H70="","",IFERROR(INDEX(Szabályok!$C$13:$C$200,MATCH(H70,Szabályok!$A$13:$A$200,0)),""))</f>
        <v/>
      </c>
      <c r="K70" s="5">
        <f>IF(H70="","",IFERROR(INDEX(Szabályok!$D$13:$D$200,MATCH(H70,Szabályok!$A$13:$A$200,0)),""))</f>
        <v/>
      </c>
      <c r="L70" s="5">
        <f>IF(H70="","",IFERROR(INDEX(Szabályok!$E$13:$E$200,MATCH(H70,Szabályok!$A$13:$A$200,0)),""))</f>
        <v/>
      </c>
      <c r="M70" s="5">
        <f>IF(H70="","",IFERROR(INDEX(Szabályok!$F$13:$F$200,MATCH(H70,Szabályok!$A$13:$A$200,0)),""))</f>
        <v/>
      </c>
      <c r="N70" s="5">
        <f>IF(H70="","",IFERROR(INDEX(Szabályok!$G$13:$G$200,MATCH(H70,Szabályok!$A$13:$A$200,0)),""))</f>
        <v/>
      </c>
      <c r="O70" s="5">
        <f>IF(H70="","",IFERROR(INDEX(Szabályok!$H$13:$H$200,MATCH(H70,Szabályok!$A$13:$A$200,0)),""))</f>
        <v/>
      </c>
      <c r="P70" s="5" t="n"/>
      <c r="Q70" s="6" t="n"/>
      <c r="R70" s="6" t="n"/>
      <c r="S70" s="6">
        <f>IF(COUNT(Q70:R70)=0,"",SUM(Q70:R70))</f>
        <v/>
      </c>
      <c r="T70" s="6" t="n"/>
      <c r="U70" s="5">
        <f>IF(T70="","",IF(L70&lt;&gt;"IGEN","IGEN",IF(S70&gt;=T70,"IGEN","NEM")))</f>
        <v/>
      </c>
      <c r="V70" s="5" t="n"/>
      <c r="W70" s="5" t="n"/>
      <c r="X70" s="5" t="n"/>
      <c r="Y70" s="5" t="n"/>
      <c r="Z70" s="5">
        <f>IF(X70="","",IF(COUNTIFS($X$5:$X$304,X70,$I$5:$I$304,"&lt;"&amp;I70)=0,I70,""))</f>
        <v/>
      </c>
      <c r="AA70" s="5">
        <f>IF(X70="","",IF(COUNTIFS($X$5:$X$304,X70,$I$5:$I$304,"&lt;"&amp;I70)&gt;0,"NEM",IF(COUNTIFS($X$5:$X$304,X70,$I$5:$I$304,I70)=1,"IGEN",IF(Y70=1,"IGEN","NEM"))))</f>
        <v/>
      </c>
      <c r="AB70" s="5">
        <f>IF(OR(I70="",J70=""),"",IF(OR(I70=0,V70="IGEN",W70="IGEN"),"X",IF(AND(K70&lt;&gt;"IGEN",L70="IGEN",U70="NEM"),"X",IF(AA70="IGEN",J70,"X"))))</f>
        <v/>
      </c>
      <c r="AC70" s="5">
        <f>IF(AB70="X",0,IF(D70="","",D70))</f>
        <v/>
      </c>
      <c r="AD70" s="5">
        <f>IF(AB70="X",IF(D70="","",D70),0)</f>
        <v/>
      </c>
      <c r="AE70" s="6" t="n"/>
      <c r="AF70" s="6">
        <f>IF(E70="","",SUMIFS($AI$5:AI70,$E$5:E70,E70)-AI70)</f>
        <v/>
      </c>
      <c r="AG70" s="6">
        <f>IF(AE70="","",MAX(0,AE70-AF70))</f>
        <v/>
      </c>
      <c r="AH70" s="6">
        <f>IF(S70="","",IF(OR(I70=0,V70="IGEN",W70="IGEN"),0,IF(AND(K70&lt;&gt;"IGEN",L70="IGEN",U70="NEM"),0,S70)))</f>
        <v/>
      </c>
      <c r="AI70" s="6">
        <f>IF(AH70="","",IF(M70="IGEN",MIN(AH70,AG70),AH70))</f>
        <v/>
      </c>
      <c r="AJ70" s="5" t="n"/>
    </row>
    <row r="71">
      <c r="A71" s="5" t="n"/>
      <c r="B71" s="5" t="n"/>
      <c r="C71" s="5" t="n"/>
      <c r="D71" s="5">
        <f>IF(AND(B71&lt;&gt;"",C71&lt;&gt;""),C71-B71+1,"")</f>
        <v/>
      </c>
      <c r="E71" s="5">
        <f>IF(B71&lt;&gt;"",YEAR(B71),"")</f>
        <v/>
      </c>
      <c r="F71" s="6" t="n"/>
      <c r="G71" s="6" t="n"/>
      <c r="H71" s="6" t="n"/>
      <c r="I71" s="5">
        <f>IF(H71="","",IFERROR(INDEX(Szabályok!$B$13:$B$200,MATCH(H71,Szabályok!$A$13:$A$200,0)),""))</f>
        <v/>
      </c>
      <c r="J71" s="5">
        <f>IF(H71="","",IFERROR(INDEX(Szabályok!$C$13:$C$200,MATCH(H71,Szabályok!$A$13:$A$200,0)),""))</f>
        <v/>
      </c>
      <c r="K71" s="5">
        <f>IF(H71="","",IFERROR(INDEX(Szabályok!$D$13:$D$200,MATCH(H71,Szabályok!$A$13:$A$200,0)),""))</f>
        <v/>
      </c>
      <c r="L71" s="5">
        <f>IF(H71="","",IFERROR(INDEX(Szabályok!$E$13:$E$200,MATCH(H71,Szabályok!$A$13:$A$200,0)),""))</f>
        <v/>
      </c>
      <c r="M71" s="5">
        <f>IF(H71="","",IFERROR(INDEX(Szabályok!$F$13:$F$200,MATCH(H71,Szabályok!$A$13:$A$200,0)),""))</f>
        <v/>
      </c>
      <c r="N71" s="5">
        <f>IF(H71="","",IFERROR(INDEX(Szabályok!$G$13:$G$200,MATCH(H71,Szabályok!$A$13:$A$200,0)),""))</f>
        <v/>
      </c>
      <c r="O71" s="5">
        <f>IF(H71="","",IFERROR(INDEX(Szabályok!$H$13:$H$200,MATCH(H71,Szabályok!$A$13:$A$200,0)),""))</f>
        <v/>
      </c>
      <c r="P71" s="5" t="n"/>
      <c r="Q71" s="6" t="n"/>
      <c r="R71" s="6" t="n"/>
      <c r="S71" s="6">
        <f>IF(COUNT(Q71:R71)=0,"",SUM(Q71:R71))</f>
        <v/>
      </c>
      <c r="T71" s="6" t="n"/>
      <c r="U71" s="5">
        <f>IF(T71="","",IF(L71&lt;&gt;"IGEN","IGEN",IF(S71&gt;=T71,"IGEN","NEM")))</f>
        <v/>
      </c>
      <c r="V71" s="5" t="n"/>
      <c r="W71" s="5" t="n"/>
      <c r="X71" s="5" t="n"/>
      <c r="Y71" s="5" t="n"/>
      <c r="Z71" s="5">
        <f>IF(X71="","",IF(COUNTIFS($X$5:$X$304,X71,$I$5:$I$304,"&lt;"&amp;I71)=0,I71,""))</f>
        <v/>
      </c>
      <c r="AA71" s="5">
        <f>IF(X71="","",IF(COUNTIFS($X$5:$X$304,X71,$I$5:$I$304,"&lt;"&amp;I71)&gt;0,"NEM",IF(COUNTIFS($X$5:$X$304,X71,$I$5:$I$304,I71)=1,"IGEN",IF(Y71=1,"IGEN","NEM"))))</f>
        <v/>
      </c>
      <c r="AB71" s="5">
        <f>IF(OR(I71="",J71=""),"",IF(OR(I71=0,V71="IGEN",W71="IGEN"),"X",IF(AND(K71&lt;&gt;"IGEN",L71="IGEN",U71="NEM"),"X",IF(AA71="IGEN",J71,"X"))))</f>
        <v/>
      </c>
      <c r="AC71" s="5">
        <f>IF(AB71="X",0,IF(D71="","",D71))</f>
        <v/>
      </c>
      <c r="AD71" s="5">
        <f>IF(AB71="X",IF(D71="","",D71),0)</f>
        <v/>
      </c>
      <c r="AE71" s="6" t="n"/>
      <c r="AF71" s="6">
        <f>IF(E71="","",SUMIFS($AI$5:AI71,$E$5:E71,E71)-AI71)</f>
        <v/>
      </c>
      <c r="AG71" s="6">
        <f>IF(AE71="","",MAX(0,AE71-AF71))</f>
        <v/>
      </c>
      <c r="AH71" s="6">
        <f>IF(S71="","",IF(OR(I71=0,V71="IGEN",W71="IGEN"),0,IF(AND(K71&lt;&gt;"IGEN",L71="IGEN",U71="NEM"),0,S71)))</f>
        <v/>
      </c>
      <c r="AI71" s="6">
        <f>IF(AH71="","",IF(M71="IGEN",MIN(AH71,AG71),AH71))</f>
        <v/>
      </c>
      <c r="AJ71" s="5" t="n"/>
    </row>
    <row r="72">
      <c r="A72" s="5" t="n"/>
      <c r="B72" s="5" t="n"/>
      <c r="C72" s="5" t="n"/>
      <c r="D72" s="5">
        <f>IF(AND(B72&lt;&gt;"",C72&lt;&gt;""),C72-B72+1,"")</f>
        <v/>
      </c>
      <c r="E72" s="5">
        <f>IF(B72&lt;&gt;"",YEAR(B72),"")</f>
        <v/>
      </c>
      <c r="F72" s="6" t="n"/>
      <c r="G72" s="6" t="n"/>
      <c r="H72" s="6" t="n"/>
      <c r="I72" s="5">
        <f>IF(H72="","",IFERROR(INDEX(Szabályok!$B$13:$B$200,MATCH(H72,Szabályok!$A$13:$A$200,0)),""))</f>
        <v/>
      </c>
      <c r="J72" s="5">
        <f>IF(H72="","",IFERROR(INDEX(Szabályok!$C$13:$C$200,MATCH(H72,Szabályok!$A$13:$A$200,0)),""))</f>
        <v/>
      </c>
      <c r="K72" s="5">
        <f>IF(H72="","",IFERROR(INDEX(Szabályok!$D$13:$D$200,MATCH(H72,Szabályok!$A$13:$A$200,0)),""))</f>
        <v/>
      </c>
      <c r="L72" s="5">
        <f>IF(H72="","",IFERROR(INDEX(Szabályok!$E$13:$E$200,MATCH(H72,Szabályok!$A$13:$A$200,0)),""))</f>
        <v/>
      </c>
      <c r="M72" s="5">
        <f>IF(H72="","",IFERROR(INDEX(Szabályok!$F$13:$F$200,MATCH(H72,Szabályok!$A$13:$A$200,0)),""))</f>
        <v/>
      </c>
      <c r="N72" s="5">
        <f>IF(H72="","",IFERROR(INDEX(Szabályok!$G$13:$G$200,MATCH(H72,Szabályok!$A$13:$A$200,0)),""))</f>
        <v/>
      </c>
      <c r="O72" s="5">
        <f>IF(H72="","",IFERROR(INDEX(Szabályok!$H$13:$H$200,MATCH(H72,Szabályok!$A$13:$A$200,0)),""))</f>
        <v/>
      </c>
      <c r="P72" s="5" t="n"/>
      <c r="Q72" s="6" t="n"/>
      <c r="R72" s="6" t="n"/>
      <c r="S72" s="6">
        <f>IF(COUNT(Q72:R72)=0,"",SUM(Q72:R72))</f>
        <v/>
      </c>
      <c r="T72" s="6" t="n"/>
      <c r="U72" s="5">
        <f>IF(T72="","",IF(L72&lt;&gt;"IGEN","IGEN",IF(S72&gt;=T72,"IGEN","NEM")))</f>
        <v/>
      </c>
      <c r="V72" s="5" t="n"/>
      <c r="W72" s="5" t="n"/>
      <c r="X72" s="5" t="n"/>
      <c r="Y72" s="5" t="n"/>
      <c r="Z72" s="5">
        <f>IF(X72="","",IF(COUNTIFS($X$5:$X$304,X72,$I$5:$I$304,"&lt;"&amp;I72)=0,I72,""))</f>
        <v/>
      </c>
      <c r="AA72" s="5">
        <f>IF(X72="","",IF(COUNTIFS($X$5:$X$304,X72,$I$5:$I$304,"&lt;"&amp;I72)&gt;0,"NEM",IF(COUNTIFS($X$5:$X$304,X72,$I$5:$I$304,I72)=1,"IGEN",IF(Y72=1,"IGEN","NEM"))))</f>
        <v/>
      </c>
      <c r="AB72" s="5">
        <f>IF(OR(I72="",J72=""),"",IF(OR(I72=0,V72="IGEN",W72="IGEN"),"X",IF(AND(K72&lt;&gt;"IGEN",L72="IGEN",U72="NEM"),"X",IF(AA72="IGEN",J72,"X"))))</f>
        <v/>
      </c>
      <c r="AC72" s="5">
        <f>IF(AB72="X",0,IF(D72="","",D72))</f>
        <v/>
      </c>
      <c r="AD72" s="5">
        <f>IF(AB72="X",IF(D72="","",D72),0)</f>
        <v/>
      </c>
      <c r="AE72" s="6" t="n"/>
      <c r="AF72" s="6">
        <f>IF(E72="","",SUMIFS($AI$5:AI72,$E$5:E72,E72)-AI72)</f>
        <v/>
      </c>
      <c r="AG72" s="6">
        <f>IF(AE72="","",MAX(0,AE72-AF72))</f>
        <v/>
      </c>
      <c r="AH72" s="6">
        <f>IF(S72="","",IF(OR(I72=0,V72="IGEN",W72="IGEN"),0,IF(AND(K72&lt;&gt;"IGEN",L72="IGEN",U72="NEM"),0,S72)))</f>
        <v/>
      </c>
      <c r="AI72" s="6">
        <f>IF(AH72="","",IF(M72="IGEN",MIN(AH72,AG72),AH72))</f>
        <v/>
      </c>
      <c r="AJ72" s="5" t="n"/>
    </row>
    <row r="73">
      <c r="A73" s="5" t="n"/>
      <c r="B73" s="5" t="n"/>
      <c r="C73" s="5" t="n"/>
      <c r="D73" s="5">
        <f>IF(AND(B73&lt;&gt;"",C73&lt;&gt;""),C73-B73+1,"")</f>
        <v/>
      </c>
      <c r="E73" s="5">
        <f>IF(B73&lt;&gt;"",YEAR(B73),"")</f>
        <v/>
      </c>
      <c r="F73" s="6" t="n"/>
      <c r="G73" s="6" t="n"/>
      <c r="H73" s="6" t="n"/>
      <c r="I73" s="5">
        <f>IF(H73="","",IFERROR(INDEX(Szabályok!$B$13:$B$200,MATCH(H73,Szabályok!$A$13:$A$200,0)),""))</f>
        <v/>
      </c>
      <c r="J73" s="5">
        <f>IF(H73="","",IFERROR(INDEX(Szabályok!$C$13:$C$200,MATCH(H73,Szabályok!$A$13:$A$200,0)),""))</f>
        <v/>
      </c>
      <c r="K73" s="5">
        <f>IF(H73="","",IFERROR(INDEX(Szabályok!$D$13:$D$200,MATCH(H73,Szabályok!$A$13:$A$200,0)),""))</f>
        <v/>
      </c>
      <c r="L73" s="5">
        <f>IF(H73="","",IFERROR(INDEX(Szabályok!$E$13:$E$200,MATCH(H73,Szabályok!$A$13:$A$200,0)),""))</f>
        <v/>
      </c>
      <c r="M73" s="5">
        <f>IF(H73="","",IFERROR(INDEX(Szabályok!$F$13:$F$200,MATCH(H73,Szabályok!$A$13:$A$200,0)),""))</f>
        <v/>
      </c>
      <c r="N73" s="5">
        <f>IF(H73="","",IFERROR(INDEX(Szabályok!$G$13:$G$200,MATCH(H73,Szabályok!$A$13:$A$200,0)),""))</f>
        <v/>
      </c>
      <c r="O73" s="5">
        <f>IF(H73="","",IFERROR(INDEX(Szabályok!$H$13:$H$200,MATCH(H73,Szabályok!$A$13:$A$200,0)),""))</f>
        <v/>
      </c>
      <c r="P73" s="5" t="n"/>
      <c r="Q73" s="6" t="n"/>
      <c r="R73" s="6" t="n"/>
      <c r="S73" s="6">
        <f>IF(COUNT(Q73:R73)=0,"",SUM(Q73:R73))</f>
        <v/>
      </c>
      <c r="T73" s="6" t="n"/>
      <c r="U73" s="5">
        <f>IF(T73="","",IF(L73&lt;&gt;"IGEN","IGEN",IF(S73&gt;=T73,"IGEN","NEM")))</f>
        <v/>
      </c>
      <c r="V73" s="5" t="n"/>
      <c r="W73" s="5" t="n"/>
      <c r="X73" s="5" t="n"/>
      <c r="Y73" s="5" t="n"/>
      <c r="Z73" s="5">
        <f>IF(X73="","",IF(COUNTIFS($X$5:$X$304,X73,$I$5:$I$304,"&lt;"&amp;I73)=0,I73,""))</f>
        <v/>
      </c>
      <c r="AA73" s="5">
        <f>IF(X73="","",IF(COUNTIFS($X$5:$X$304,X73,$I$5:$I$304,"&lt;"&amp;I73)&gt;0,"NEM",IF(COUNTIFS($X$5:$X$304,X73,$I$5:$I$304,I73)=1,"IGEN",IF(Y73=1,"IGEN","NEM"))))</f>
        <v/>
      </c>
      <c r="AB73" s="5">
        <f>IF(OR(I73="",J73=""),"",IF(OR(I73=0,V73="IGEN",W73="IGEN"),"X",IF(AND(K73&lt;&gt;"IGEN",L73="IGEN",U73="NEM"),"X",IF(AA73="IGEN",J73,"X"))))</f>
        <v/>
      </c>
      <c r="AC73" s="5">
        <f>IF(AB73="X",0,IF(D73="","",D73))</f>
        <v/>
      </c>
      <c r="AD73" s="5">
        <f>IF(AB73="X",IF(D73="","",D73),0)</f>
        <v/>
      </c>
      <c r="AE73" s="6" t="n"/>
      <c r="AF73" s="6">
        <f>IF(E73="","",SUMIFS($AI$5:AI73,$E$5:E73,E73)-AI73)</f>
        <v/>
      </c>
      <c r="AG73" s="6">
        <f>IF(AE73="","",MAX(0,AE73-AF73))</f>
        <v/>
      </c>
      <c r="AH73" s="6">
        <f>IF(S73="","",IF(OR(I73=0,V73="IGEN",W73="IGEN"),0,IF(AND(K73&lt;&gt;"IGEN",L73="IGEN",U73="NEM"),0,S73)))</f>
        <v/>
      </c>
      <c r="AI73" s="6">
        <f>IF(AH73="","",IF(M73="IGEN",MIN(AH73,AG73),AH73))</f>
        <v/>
      </c>
      <c r="AJ73" s="5" t="n"/>
    </row>
    <row r="74">
      <c r="A74" s="5" t="n"/>
      <c r="B74" s="5" t="n"/>
      <c r="C74" s="5" t="n"/>
      <c r="D74" s="5">
        <f>IF(AND(B74&lt;&gt;"",C74&lt;&gt;""),C74-B74+1,"")</f>
        <v/>
      </c>
      <c r="E74" s="5">
        <f>IF(B74&lt;&gt;"",YEAR(B74),"")</f>
        <v/>
      </c>
      <c r="F74" s="6" t="n"/>
      <c r="G74" s="6" t="n"/>
      <c r="H74" s="6" t="n"/>
      <c r="I74" s="5">
        <f>IF(H74="","",IFERROR(INDEX(Szabályok!$B$13:$B$200,MATCH(H74,Szabályok!$A$13:$A$200,0)),""))</f>
        <v/>
      </c>
      <c r="J74" s="5">
        <f>IF(H74="","",IFERROR(INDEX(Szabályok!$C$13:$C$200,MATCH(H74,Szabályok!$A$13:$A$200,0)),""))</f>
        <v/>
      </c>
      <c r="K74" s="5">
        <f>IF(H74="","",IFERROR(INDEX(Szabályok!$D$13:$D$200,MATCH(H74,Szabályok!$A$13:$A$200,0)),""))</f>
        <v/>
      </c>
      <c r="L74" s="5">
        <f>IF(H74="","",IFERROR(INDEX(Szabályok!$E$13:$E$200,MATCH(H74,Szabályok!$A$13:$A$200,0)),""))</f>
        <v/>
      </c>
      <c r="M74" s="5">
        <f>IF(H74="","",IFERROR(INDEX(Szabályok!$F$13:$F$200,MATCH(H74,Szabályok!$A$13:$A$200,0)),""))</f>
        <v/>
      </c>
      <c r="N74" s="5">
        <f>IF(H74="","",IFERROR(INDEX(Szabályok!$G$13:$G$200,MATCH(H74,Szabályok!$A$13:$A$200,0)),""))</f>
        <v/>
      </c>
      <c r="O74" s="5">
        <f>IF(H74="","",IFERROR(INDEX(Szabályok!$H$13:$H$200,MATCH(H74,Szabályok!$A$13:$A$200,0)),""))</f>
        <v/>
      </c>
      <c r="P74" s="5" t="n"/>
      <c r="Q74" s="6" t="n"/>
      <c r="R74" s="6" t="n"/>
      <c r="S74" s="6">
        <f>IF(COUNT(Q74:R74)=0,"",SUM(Q74:R74))</f>
        <v/>
      </c>
      <c r="T74" s="6" t="n"/>
      <c r="U74" s="5">
        <f>IF(T74="","",IF(L74&lt;&gt;"IGEN","IGEN",IF(S74&gt;=T74,"IGEN","NEM")))</f>
        <v/>
      </c>
      <c r="V74" s="5" t="n"/>
      <c r="W74" s="5" t="n"/>
      <c r="X74" s="5" t="n"/>
      <c r="Y74" s="5" t="n"/>
      <c r="Z74" s="5">
        <f>IF(X74="","",IF(COUNTIFS($X$5:$X$304,X74,$I$5:$I$304,"&lt;"&amp;I74)=0,I74,""))</f>
        <v/>
      </c>
      <c r="AA74" s="5">
        <f>IF(X74="","",IF(COUNTIFS($X$5:$X$304,X74,$I$5:$I$304,"&lt;"&amp;I74)&gt;0,"NEM",IF(COUNTIFS($X$5:$X$304,X74,$I$5:$I$304,I74)=1,"IGEN",IF(Y74=1,"IGEN","NEM"))))</f>
        <v/>
      </c>
      <c r="AB74" s="5">
        <f>IF(OR(I74="",J74=""),"",IF(OR(I74=0,V74="IGEN",W74="IGEN"),"X",IF(AND(K74&lt;&gt;"IGEN",L74="IGEN",U74="NEM"),"X",IF(AA74="IGEN",J74,"X"))))</f>
        <v/>
      </c>
      <c r="AC74" s="5">
        <f>IF(AB74="X",0,IF(D74="","",D74))</f>
        <v/>
      </c>
      <c r="AD74" s="5">
        <f>IF(AB74="X",IF(D74="","",D74),0)</f>
        <v/>
      </c>
      <c r="AE74" s="6" t="n"/>
      <c r="AF74" s="6">
        <f>IF(E74="","",SUMIFS($AI$5:AI74,$E$5:E74,E74)-AI74)</f>
        <v/>
      </c>
      <c r="AG74" s="6">
        <f>IF(AE74="","",MAX(0,AE74-AF74))</f>
        <v/>
      </c>
      <c r="AH74" s="6">
        <f>IF(S74="","",IF(OR(I74=0,V74="IGEN",W74="IGEN"),0,IF(AND(K74&lt;&gt;"IGEN",L74="IGEN",U74="NEM"),0,S74)))</f>
        <v/>
      </c>
      <c r="AI74" s="6">
        <f>IF(AH74="","",IF(M74="IGEN",MIN(AH74,AG74),AH74))</f>
        <v/>
      </c>
      <c r="AJ74" s="5" t="n"/>
    </row>
    <row r="75">
      <c r="A75" s="5" t="n"/>
      <c r="B75" s="5" t="n"/>
      <c r="C75" s="5" t="n"/>
      <c r="D75" s="5">
        <f>IF(AND(B75&lt;&gt;"",C75&lt;&gt;""),C75-B75+1,"")</f>
        <v/>
      </c>
      <c r="E75" s="5">
        <f>IF(B75&lt;&gt;"",YEAR(B75),"")</f>
        <v/>
      </c>
      <c r="F75" s="6" t="n"/>
      <c r="G75" s="6" t="n"/>
      <c r="H75" s="6" t="n"/>
      <c r="I75" s="5">
        <f>IF(H75="","",IFERROR(INDEX(Szabályok!$B$13:$B$200,MATCH(H75,Szabályok!$A$13:$A$200,0)),""))</f>
        <v/>
      </c>
      <c r="J75" s="5">
        <f>IF(H75="","",IFERROR(INDEX(Szabályok!$C$13:$C$200,MATCH(H75,Szabályok!$A$13:$A$200,0)),""))</f>
        <v/>
      </c>
      <c r="K75" s="5">
        <f>IF(H75="","",IFERROR(INDEX(Szabályok!$D$13:$D$200,MATCH(H75,Szabályok!$A$13:$A$200,0)),""))</f>
        <v/>
      </c>
      <c r="L75" s="5">
        <f>IF(H75="","",IFERROR(INDEX(Szabályok!$E$13:$E$200,MATCH(H75,Szabályok!$A$13:$A$200,0)),""))</f>
        <v/>
      </c>
      <c r="M75" s="5">
        <f>IF(H75="","",IFERROR(INDEX(Szabályok!$F$13:$F$200,MATCH(H75,Szabályok!$A$13:$A$200,0)),""))</f>
        <v/>
      </c>
      <c r="N75" s="5">
        <f>IF(H75="","",IFERROR(INDEX(Szabályok!$G$13:$G$200,MATCH(H75,Szabályok!$A$13:$A$200,0)),""))</f>
        <v/>
      </c>
      <c r="O75" s="5">
        <f>IF(H75="","",IFERROR(INDEX(Szabályok!$H$13:$H$200,MATCH(H75,Szabályok!$A$13:$A$200,0)),""))</f>
        <v/>
      </c>
      <c r="P75" s="5" t="n"/>
      <c r="Q75" s="6" t="n"/>
      <c r="R75" s="6" t="n"/>
      <c r="S75" s="6">
        <f>IF(COUNT(Q75:R75)=0,"",SUM(Q75:R75))</f>
        <v/>
      </c>
      <c r="T75" s="6" t="n"/>
      <c r="U75" s="5">
        <f>IF(T75="","",IF(L75&lt;&gt;"IGEN","IGEN",IF(S75&gt;=T75,"IGEN","NEM")))</f>
        <v/>
      </c>
      <c r="V75" s="5" t="n"/>
      <c r="W75" s="5" t="n"/>
      <c r="X75" s="5" t="n"/>
      <c r="Y75" s="5" t="n"/>
      <c r="Z75" s="5">
        <f>IF(X75="","",IF(COUNTIFS($X$5:$X$304,X75,$I$5:$I$304,"&lt;"&amp;I75)=0,I75,""))</f>
        <v/>
      </c>
      <c r="AA75" s="5">
        <f>IF(X75="","",IF(COUNTIFS($X$5:$X$304,X75,$I$5:$I$304,"&lt;"&amp;I75)&gt;0,"NEM",IF(COUNTIFS($X$5:$X$304,X75,$I$5:$I$304,I75)=1,"IGEN",IF(Y75=1,"IGEN","NEM"))))</f>
        <v/>
      </c>
      <c r="AB75" s="5">
        <f>IF(OR(I75="",J75=""),"",IF(OR(I75=0,V75="IGEN",W75="IGEN"),"X",IF(AND(K75&lt;&gt;"IGEN",L75="IGEN",U75="NEM"),"X",IF(AA75="IGEN",J75,"X"))))</f>
        <v/>
      </c>
      <c r="AC75" s="5">
        <f>IF(AB75="X",0,IF(D75="","",D75))</f>
        <v/>
      </c>
      <c r="AD75" s="5">
        <f>IF(AB75="X",IF(D75="","",D75),0)</f>
        <v/>
      </c>
      <c r="AE75" s="6" t="n"/>
      <c r="AF75" s="6">
        <f>IF(E75="","",SUMIFS($AI$5:AI75,$E$5:E75,E75)-AI75)</f>
        <v/>
      </c>
      <c r="AG75" s="6">
        <f>IF(AE75="","",MAX(0,AE75-AF75))</f>
        <v/>
      </c>
      <c r="AH75" s="6">
        <f>IF(S75="","",IF(OR(I75=0,V75="IGEN",W75="IGEN"),0,IF(AND(K75&lt;&gt;"IGEN",L75="IGEN",U75="NEM"),0,S75)))</f>
        <v/>
      </c>
      <c r="AI75" s="6">
        <f>IF(AH75="","",IF(M75="IGEN",MIN(AH75,AG75),AH75))</f>
        <v/>
      </c>
      <c r="AJ75" s="5" t="n"/>
    </row>
    <row r="76">
      <c r="A76" s="5" t="n"/>
      <c r="B76" s="5" t="n"/>
      <c r="C76" s="5" t="n"/>
      <c r="D76" s="5">
        <f>IF(AND(B76&lt;&gt;"",C76&lt;&gt;""),C76-B76+1,"")</f>
        <v/>
      </c>
      <c r="E76" s="5">
        <f>IF(B76&lt;&gt;"",YEAR(B76),"")</f>
        <v/>
      </c>
      <c r="F76" s="6" t="n"/>
      <c r="G76" s="6" t="n"/>
      <c r="H76" s="6" t="n"/>
      <c r="I76" s="5">
        <f>IF(H76="","",IFERROR(INDEX(Szabályok!$B$13:$B$200,MATCH(H76,Szabályok!$A$13:$A$200,0)),""))</f>
        <v/>
      </c>
      <c r="J76" s="5">
        <f>IF(H76="","",IFERROR(INDEX(Szabályok!$C$13:$C$200,MATCH(H76,Szabályok!$A$13:$A$200,0)),""))</f>
        <v/>
      </c>
      <c r="K76" s="5">
        <f>IF(H76="","",IFERROR(INDEX(Szabályok!$D$13:$D$200,MATCH(H76,Szabályok!$A$13:$A$200,0)),""))</f>
        <v/>
      </c>
      <c r="L76" s="5">
        <f>IF(H76="","",IFERROR(INDEX(Szabályok!$E$13:$E$200,MATCH(H76,Szabályok!$A$13:$A$200,0)),""))</f>
        <v/>
      </c>
      <c r="M76" s="5">
        <f>IF(H76="","",IFERROR(INDEX(Szabályok!$F$13:$F$200,MATCH(H76,Szabályok!$A$13:$A$200,0)),""))</f>
        <v/>
      </c>
      <c r="N76" s="5">
        <f>IF(H76="","",IFERROR(INDEX(Szabályok!$G$13:$G$200,MATCH(H76,Szabályok!$A$13:$A$200,0)),""))</f>
        <v/>
      </c>
      <c r="O76" s="5">
        <f>IF(H76="","",IFERROR(INDEX(Szabályok!$H$13:$H$200,MATCH(H76,Szabályok!$A$13:$A$200,0)),""))</f>
        <v/>
      </c>
      <c r="P76" s="5" t="n"/>
      <c r="Q76" s="6" t="n"/>
      <c r="R76" s="6" t="n"/>
      <c r="S76" s="6">
        <f>IF(COUNT(Q76:R76)=0,"",SUM(Q76:R76))</f>
        <v/>
      </c>
      <c r="T76" s="6" t="n"/>
      <c r="U76" s="5">
        <f>IF(T76="","",IF(L76&lt;&gt;"IGEN","IGEN",IF(S76&gt;=T76,"IGEN","NEM")))</f>
        <v/>
      </c>
      <c r="V76" s="5" t="n"/>
      <c r="W76" s="5" t="n"/>
      <c r="X76" s="5" t="n"/>
      <c r="Y76" s="5" t="n"/>
      <c r="Z76" s="5">
        <f>IF(X76="","",IF(COUNTIFS($X$5:$X$304,X76,$I$5:$I$304,"&lt;"&amp;I76)=0,I76,""))</f>
        <v/>
      </c>
      <c r="AA76" s="5">
        <f>IF(X76="","",IF(COUNTIFS($X$5:$X$304,X76,$I$5:$I$304,"&lt;"&amp;I76)&gt;0,"NEM",IF(COUNTIFS($X$5:$X$304,X76,$I$5:$I$304,I76)=1,"IGEN",IF(Y76=1,"IGEN","NEM"))))</f>
        <v/>
      </c>
      <c r="AB76" s="5">
        <f>IF(OR(I76="",J76=""),"",IF(OR(I76=0,V76="IGEN",W76="IGEN"),"X",IF(AND(K76&lt;&gt;"IGEN",L76="IGEN",U76="NEM"),"X",IF(AA76="IGEN",J76,"X"))))</f>
        <v/>
      </c>
      <c r="AC76" s="5">
        <f>IF(AB76="X",0,IF(D76="","",D76))</f>
        <v/>
      </c>
      <c r="AD76" s="5">
        <f>IF(AB76="X",IF(D76="","",D76),0)</f>
        <v/>
      </c>
      <c r="AE76" s="6" t="n"/>
      <c r="AF76" s="6">
        <f>IF(E76="","",SUMIFS($AI$5:AI76,$E$5:E76,E76)-AI76)</f>
        <v/>
      </c>
      <c r="AG76" s="6">
        <f>IF(AE76="","",MAX(0,AE76-AF76))</f>
        <v/>
      </c>
      <c r="AH76" s="6">
        <f>IF(S76="","",IF(OR(I76=0,V76="IGEN",W76="IGEN"),0,IF(AND(K76&lt;&gt;"IGEN",L76="IGEN",U76="NEM"),0,S76)))</f>
        <v/>
      </c>
      <c r="AI76" s="6">
        <f>IF(AH76="","",IF(M76="IGEN",MIN(AH76,AG76),AH76))</f>
        <v/>
      </c>
      <c r="AJ76" s="5" t="n"/>
    </row>
    <row r="77">
      <c r="A77" s="5" t="n"/>
      <c r="B77" s="5" t="n"/>
      <c r="C77" s="5" t="n"/>
      <c r="D77" s="5">
        <f>IF(AND(B77&lt;&gt;"",C77&lt;&gt;""),C77-B77+1,"")</f>
        <v/>
      </c>
      <c r="E77" s="5">
        <f>IF(B77&lt;&gt;"",YEAR(B77),"")</f>
        <v/>
      </c>
      <c r="F77" s="6" t="n"/>
      <c r="G77" s="6" t="n"/>
      <c r="H77" s="6" t="n"/>
      <c r="I77" s="5">
        <f>IF(H77="","",IFERROR(INDEX(Szabályok!$B$13:$B$200,MATCH(H77,Szabályok!$A$13:$A$200,0)),""))</f>
        <v/>
      </c>
      <c r="J77" s="5">
        <f>IF(H77="","",IFERROR(INDEX(Szabályok!$C$13:$C$200,MATCH(H77,Szabályok!$A$13:$A$200,0)),""))</f>
        <v/>
      </c>
      <c r="K77" s="5">
        <f>IF(H77="","",IFERROR(INDEX(Szabályok!$D$13:$D$200,MATCH(H77,Szabályok!$A$13:$A$200,0)),""))</f>
        <v/>
      </c>
      <c r="L77" s="5">
        <f>IF(H77="","",IFERROR(INDEX(Szabályok!$E$13:$E$200,MATCH(H77,Szabályok!$A$13:$A$200,0)),""))</f>
        <v/>
      </c>
      <c r="M77" s="5">
        <f>IF(H77="","",IFERROR(INDEX(Szabályok!$F$13:$F$200,MATCH(H77,Szabályok!$A$13:$A$200,0)),""))</f>
        <v/>
      </c>
      <c r="N77" s="5">
        <f>IF(H77="","",IFERROR(INDEX(Szabályok!$G$13:$G$200,MATCH(H77,Szabályok!$A$13:$A$200,0)),""))</f>
        <v/>
      </c>
      <c r="O77" s="5">
        <f>IF(H77="","",IFERROR(INDEX(Szabályok!$H$13:$H$200,MATCH(H77,Szabályok!$A$13:$A$200,0)),""))</f>
        <v/>
      </c>
      <c r="P77" s="5" t="n"/>
      <c r="Q77" s="6" t="n"/>
      <c r="R77" s="6" t="n"/>
      <c r="S77" s="6">
        <f>IF(COUNT(Q77:R77)=0,"",SUM(Q77:R77))</f>
        <v/>
      </c>
      <c r="T77" s="6" t="n"/>
      <c r="U77" s="5">
        <f>IF(T77="","",IF(L77&lt;&gt;"IGEN","IGEN",IF(S77&gt;=T77,"IGEN","NEM")))</f>
        <v/>
      </c>
      <c r="V77" s="5" t="n"/>
      <c r="W77" s="5" t="n"/>
      <c r="X77" s="5" t="n"/>
      <c r="Y77" s="5" t="n"/>
      <c r="Z77" s="5">
        <f>IF(X77="","",IF(COUNTIFS($X$5:$X$304,X77,$I$5:$I$304,"&lt;"&amp;I77)=0,I77,""))</f>
        <v/>
      </c>
      <c r="AA77" s="5">
        <f>IF(X77="","",IF(COUNTIFS($X$5:$X$304,X77,$I$5:$I$304,"&lt;"&amp;I77)&gt;0,"NEM",IF(COUNTIFS($X$5:$X$304,X77,$I$5:$I$304,I77)=1,"IGEN",IF(Y77=1,"IGEN","NEM"))))</f>
        <v/>
      </c>
      <c r="AB77" s="5">
        <f>IF(OR(I77="",J77=""),"",IF(OR(I77=0,V77="IGEN",W77="IGEN"),"X",IF(AND(K77&lt;&gt;"IGEN",L77="IGEN",U77="NEM"),"X",IF(AA77="IGEN",J77,"X"))))</f>
        <v/>
      </c>
      <c r="AC77" s="5">
        <f>IF(AB77="X",0,IF(D77="","",D77))</f>
        <v/>
      </c>
      <c r="AD77" s="5">
        <f>IF(AB77="X",IF(D77="","",D77),0)</f>
        <v/>
      </c>
      <c r="AE77" s="6" t="n"/>
      <c r="AF77" s="6">
        <f>IF(E77="","",SUMIFS($AI$5:AI77,$E$5:E77,E77)-AI77)</f>
        <v/>
      </c>
      <c r="AG77" s="6">
        <f>IF(AE77="","",MAX(0,AE77-AF77))</f>
        <v/>
      </c>
      <c r="AH77" s="6">
        <f>IF(S77="","",IF(OR(I77=0,V77="IGEN",W77="IGEN"),0,IF(AND(K77&lt;&gt;"IGEN",L77="IGEN",U77="NEM"),0,S77)))</f>
        <v/>
      </c>
      <c r="AI77" s="6">
        <f>IF(AH77="","",IF(M77="IGEN",MIN(AH77,AG77),AH77))</f>
        <v/>
      </c>
      <c r="AJ77" s="5" t="n"/>
    </row>
    <row r="78">
      <c r="A78" s="5" t="n"/>
      <c r="B78" s="5" t="n"/>
      <c r="C78" s="5" t="n"/>
      <c r="D78" s="5">
        <f>IF(AND(B78&lt;&gt;"",C78&lt;&gt;""),C78-B78+1,"")</f>
        <v/>
      </c>
      <c r="E78" s="5">
        <f>IF(B78&lt;&gt;"",YEAR(B78),"")</f>
        <v/>
      </c>
      <c r="F78" s="6" t="n"/>
      <c r="G78" s="6" t="n"/>
      <c r="H78" s="6" t="n"/>
      <c r="I78" s="5">
        <f>IF(H78="","",IFERROR(INDEX(Szabályok!$B$13:$B$200,MATCH(H78,Szabályok!$A$13:$A$200,0)),""))</f>
        <v/>
      </c>
      <c r="J78" s="5">
        <f>IF(H78="","",IFERROR(INDEX(Szabályok!$C$13:$C$200,MATCH(H78,Szabályok!$A$13:$A$200,0)),""))</f>
        <v/>
      </c>
      <c r="K78" s="5">
        <f>IF(H78="","",IFERROR(INDEX(Szabályok!$D$13:$D$200,MATCH(H78,Szabályok!$A$13:$A$200,0)),""))</f>
        <v/>
      </c>
      <c r="L78" s="5">
        <f>IF(H78="","",IFERROR(INDEX(Szabályok!$E$13:$E$200,MATCH(H78,Szabályok!$A$13:$A$200,0)),""))</f>
        <v/>
      </c>
      <c r="M78" s="5">
        <f>IF(H78="","",IFERROR(INDEX(Szabályok!$F$13:$F$200,MATCH(H78,Szabályok!$A$13:$A$200,0)),""))</f>
        <v/>
      </c>
      <c r="N78" s="5">
        <f>IF(H78="","",IFERROR(INDEX(Szabályok!$G$13:$G$200,MATCH(H78,Szabályok!$A$13:$A$200,0)),""))</f>
        <v/>
      </c>
      <c r="O78" s="5">
        <f>IF(H78="","",IFERROR(INDEX(Szabályok!$H$13:$H$200,MATCH(H78,Szabályok!$A$13:$A$200,0)),""))</f>
        <v/>
      </c>
      <c r="P78" s="5" t="n"/>
      <c r="Q78" s="6" t="n"/>
      <c r="R78" s="6" t="n"/>
      <c r="S78" s="6">
        <f>IF(COUNT(Q78:R78)=0,"",SUM(Q78:R78))</f>
        <v/>
      </c>
      <c r="T78" s="6" t="n"/>
      <c r="U78" s="5">
        <f>IF(T78="","",IF(L78&lt;&gt;"IGEN","IGEN",IF(S78&gt;=T78,"IGEN","NEM")))</f>
        <v/>
      </c>
      <c r="V78" s="5" t="n"/>
      <c r="W78" s="5" t="n"/>
      <c r="X78" s="5" t="n"/>
      <c r="Y78" s="5" t="n"/>
      <c r="Z78" s="5">
        <f>IF(X78="","",IF(COUNTIFS($X$5:$X$304,X78,$I$5:$I$304,"&lt;"&amp;I78)=0,I78,""))</f>
        <v/>
      </c>
      <c r="AA78" s="5">
        <f>IF(X78="","",IF(COUNTIFS($X$5:$X$304,X78,$I$5:$I$304,"&lt;"&amp;I78)&gt;0,"NEM",IF(COUNTIFS($X$5:$X$304,X78,$I$5:$I$304,I78)=1,"IGEN",IF(Y78=1,"IGEN","NEM"))))</f>
        <v/>
      </c>
      <c r="AB78" s="5">
        <f>IF(OR(I78="",J78=""),"",IF(OR(I78=0,V78="IGEN",W78="IGEN"),"X",IF(AND(K78&lt;&gt;"IGEN",L78="IGEN",U78="NEM"),"X",IF(AA78="IGEN",J78,"X"))))</f>
        <v/>
      </c>
      <c r="AC78" s="5">
        <f>IF(AB78="X",0,IF(D78="","",D78))</f>
        <v/>
      </c>
      <c r="AD78" s="5">
        <f>IF(AB78="X",IF(D78="","",D78),0)</f>
        <v/>
      </c>
      <c r="AE78" s="6" t="n"/>
      <c r="AF78" s="6">
        <f>IF(E78="","",SUMIFS($AI$5:AI78,$E$5:E78,E78)-AI78)</f>
        <v/>
      </c>
      <c r="AG78" s="6">
        <f>IF(AE78="","",MAX(0,AE78-AF78))</f>
        <v/>
      </c>
      <c r="AH78" s="6">
        <f>IF(S78="","",IF(OR(I78=0,V78="IGEN",W78="IGEN"),0,IF(AND(K78&lt;&gt;"IGEN",L78="IGEN",U78="NEM"),0,S78)))</f>
        <v/>
      </c>
      <c r="AI78" s="6">
        <f>IF(AH78="","",IF(M78="IGEN",MIN(AH78,AG78),AH78))</f>
        <v/>
      </c>
      <c r="AJ78" s="5" t="n"/>
    </row>
    <row r="79">
      <c r="A79" s="5" t="n"/>
      <c r="B79" s="5" t="n"/>
      <c r="C79" s="5" t="n"/>
      <c r="D79" s="5">
        <f>IF(AND(B79&lt;&gt;"",C79&lt;&gt;""),C79-B79+1,"")</f>
        <v/>
      </c>
      <c r="E79" s="5">
        <f>IF(B79&lt;&gt;"",YEAR(B79),"")</f>
        <v/>
      </c>
      <c r="F79" s="6" t="n"/>
      <c r="G79" s="6" t="n"/>
      <c r="H79" s="6" t="n"/>
      <c r="I79" s="5">
        <f>IF(H79="","",IFERROR(INDEX(Szabályok!$B$13:$B$200,MATCH(H79,Szabályok!$A$13:$A$200,0)),""))</f>
        <v/>
      </c>
      <c r="J79" s="5">
        <f>IF(H79="","",IFERROR(INDEX(Szabályok!$C$13:$C$200,MATCH(H79,Szabályok!$A$13:$A$200,0)),""))</f>
        <v/>
      </c>
      <c r="K79" s="5">
        <f>IF(H79="","",IFERROR(INDEX(Szabályok!$D$13:$D$200,MATCH(H79,Szabályok!$A$13:$A$200,0)),""))</f>
        <v/>
      </c>
      <c r="L79" s="5">
        <f>IF(H79="","",IFERROR(INDEX(Szabályok!$E$13:$E$200,MATCH(H79,Szabályok!$A$13:$A$200,0)),""))</f>
        <v/>
      </c>
      <c r="M79" s="5">
        <f>IF(H79="","",IFERROR(INDEX(Szabályok!$F$13:$F$200,MATCH(H79,Szabályok!$A$13:$A$200,0)),""))</f>
        <v/>
      </c>
      <c r="N79" s="5">
        <f>IF(H79="","",IFERROR(INDEX(Szabályok!$G$13:$G$200,MATCH(H79,Szabályok!$A$13:$A$200,0)),""))</f>
        <v/>
      </c>
      <c r="O79" s="5">
        <f>IF(H79="","",IFERROR(INDEX(Szabályok!$H$13:$H$200,MATCH(H79,Szabályok!$A$13:$A$200,0)),""))</f>
        <v/>
      </c>
      <c r="P79" s="5" t="n"/>
      <c r="Q79" s="6" t="n"/>
      <c r="R79" s="6" t="n"/>
      <c r="S79" s="6">
        <f>IF(COUNT(Q79:R79)=0,"",SUM(Q79:R79))</f>
        <v/>
      </c>
      <c r="T79" s="6" t="n"/>
      <c r="U79" s="5">
        <f>IF(T79="","",IF(L79&lt;&gt;"IGEN","IGEN",IF(S79&gt;=T79,"IGEN","NEM")))</f>
        <v/>
      </c>
      <c r="V79" s="5" t="n"/>
      <c r="W79" s="5" t="n"/>
      <c r="X79" s="5" t="n"/>
      <c r="Y79" s="5" t="n"/>
      <c r="Z79" s="5">
        <f>IF(X79="","",IF(COUNTIFS($X$5:$X$304,X79,$I$5:$I$304,"&lt;"&amp;I79)=0,I79,""))</f>
        <v/>
      </c>
      <c r="AA79" s="5">
        <f>IF(X79="","",IF(COUNTIFS($X$5:$X$304,X79,$I$5:$I$304,"&lt;"&amp;I79)&gt;0,"NEM",IF(COUNTIFS($X$5:$X$304,X79,$I$5:$I$304,I79)=1,"IGEN",IF(Y79=1,"IGEN","NEM"))))</f>
        <v/>
      </c>
      <c r="AB79" s="5">
        <f>IF(OR(I79="",J79=""),"",IF(OR(I79=0,V79="IGEN",W79="IGEN"),"X",IF(AND(K79&lt;&gt;"IGEN",L79="IGEN",U79="NEM"),"X",IF(AA79="IGEN",J79,"X"))))</f>
        <v/>
      </c>
      <c r="AC79" s="5">
        <f>IF(AB79="X",0,IF(D79="","",D79))</f>
        <v/>
      </c>
      <c r="AD79" s="5">
        <f>IF(AB79="X",IF(D79="","",D79),0)</f>
        <v/>
      </c>
      <c r="AE79" s="6" t="n"/>
      <c r="AF79" s="6">
        <f>IF(E79="","",SUMIFS($AI$5:AI79,$E$5:E79,E79)-AI79)</f>
        <v/>
      </c>
      <c r="AG79" s="6">
        <f>IF(AE79="","",MAX(0,AE79-AF79))</f>
        <v/>
      </c>
      <c r="AH79" s="6">
        <f>IF(S79="","",IF(OR(I79=0,V79="IGEN",W79="IGEN"),0,IF(AND(K79&lt;&gt;"IGEN",L79="IGEN",U79="NEM"),0,S79)))</f>
        <v/>
      </c>
      <c r="AI79" s="6">
        <f>IF(AH79="","",IF(M79="IGEN",MIN(AH79,AG79),AH79))</f>
        <v/>
      </c>
      <c r="AJ79" s="5" t="n"/>
    </row>
    <row r="80">
      <c r="A80" s="5" t="n"/>
      <c r="B80" s="5" t="n"/>
      <c r="C80" s="5" t="n"/>
      <c r="D80" s="5">
        <f>IF(AND(B80&lt;&gt;"",C80&lt;&gt;""),C80-B80+1,"")</f>
        <v/>
      </c>
      <c r="E80" s="5">
        <f>IF(B80&lt;&gt;"",YEAR(B80),"")</f>
        <v/>
      </c>
      <c r="F80" s="6" t="n"/>
      <c r="G80" s="6" t="n"/>
      <c r="H80" s="6" t="n"/>
      <c r="I80" s="5">
        <f>IF(H80="","",IFERROR(INDEX(Szabályok!$B$13:$B$200,MATCH(H80,Szabályok!$A$13:$A$200,0)),""))</f>
        <v/>
      </c>
      <c r="J80" s="5">
        <f>IF(H80="","",IFERROR(INDEX(Szabályok!$C$13:$C$200,MATCH(H80,Szabályok!$A$13:$A$200,0)),""))</f>
        <v/>
      </c>
      <c r="K80" s="5">
        <f>IF(H80="","",IFERROR(INDEX(Szabályok!$D$13:$D$200,MATCH(H80,Szabályok!$A$13:$A$200,0)),""))</f>
        <v/>
      </c>
      <c r="L80" s="5">
        <f>IF(H80="","",IFERROR(INDEX(Szabályok!$E$13:$E$200,MATCH(H80,Szabályok!$A$13:$A$200,0)),""))</f>
        <v/>
      </c>
      <c r="M80" s="5">
        <f>IF(H80="","",IFERROR(INDEX(Szabályok!$F$13:$F$200,MATCH(H80,Szabályok!$A$13:$A$200,0)),""))</f>
        <v/>
      </c>
      <c r="N80" s="5">
        <f>IF(H80="","",IFERROR(INDEX(Szabályok!$G$13:$G$200,MATCH(H80,Szabályok!$A$13:$A$200,0)),""))</f>
        <v/>
      </c>
      <c r="O80" s="5">
        <f>IF(H80="","",IFERROR(INDEX(Szabályok!$H$13:$H$200,MATCH(H80,Szabályok!$A$13:$A$200,0)),""))</f>
        <v/>
      </c>
      <c r="P80" s="5" t="n"/>
      <c r="Q80" s="6" t="n"/>
      <c r="R80" s="6" t="n"/>
      <c r="S80" s="6">
        <f>IF(COUNT(Q80:R80)=0,"",SUM(Q80:R80))</f>
        <v/>
      </c>
      <c r="T80" s="6" t="n"/>
      <c r="U80" s="5">
        <f>IF(T80="","",IF(L80&lt;&gt;"IGEN","IGEN",IF(S80&gt;=T80,"IGEN","NEM")))</f>
        <v/>
      </c>
      <c r="V80" s="5" t="n"/>
      <c r="W80" s="5" t="n"/>
      <c r="X80" s="5" t="n"/>
      <c r="Y80" s="5" t="n"/>
      <c r="Z80" s="5">
        <f>IF(X80="","",IF(COUNTIFS($X$5:$X$304,X80,$I$5:$I$304,"&lt;"&amp;I80)=0,I80,""))</f>
        <v/>
      </c>
      <c r="AA80" s="5">
        <f>IF(X80="","",IF(COUNTIFS($X$5:$X$304,X80,$I$5:$I$304,"&lt;"&amp;I80)&gt;0,"NEM",IF(COUNTIFS($X$5:$X$304,X80,$I$5:$I$304,I80)=1,"IGEN",IF(Y80=1,"IGEN","NEM"))))</f>
        <v/>
      </c>
      <c r="AB80" s="5">
        <f>IF(OR(I80="",J80=""),"",IF(OR(I80=0,V80="IGEN",W80="IGEN"),"X",IF(AND(K80&lt;&gt;"IGEN",L80="IGEN",U80="NEM"),"X",IF(AA80="IGEN",J80,"X"))))</f>
        <v/>
      </c>
      <c r="AC80" s="5">
        <f>IF(AB80="X",0,IF(D80="","",D80))</f>
        <v/>
      </c>
      <c r="AD80" s="5">
        <f>IF(AB80="X",IF(D80="","",D80),0)</f>
        <v/>
      </c>
      <c r="AE80" s="6" t="n"/>
      <c r="AF80" s="6">
        <f>IF(E80="","",SUMIFS($AI$5:AI80,$E$5:E80,E80)-AI80)</f>
        <v/>
      </c>
      <c r="AG80" s="6">
        <f>IF(AE80="","",MAX(0,AE80-AF80))</f>
        <v/>
      </c>
      <c r="AH80" s="6">
        <f>IF(S80="","",IF(OR(I80=0,V80="IGEN",W80="IGEN"),0,IF(AND(K80&lt;&gt;"IGEN",L80="IGEN",U80="NEM"),0,S80)))</f>
        <v/>
      </c>
      <c r="AI80" s="6">
        <f>IF(AH80="","",IF(M80="IGEN",MIN(AH80,AG80),AH80))</f>
        <v/>
      </c>
      <c r="AJ80" s="5" t="n"/>
    </row>
    <row r="81">
      <c r="A81" s="5" t="n"/>
      <c r="B81" s="5" t="n"/>
      <c r="C81" s="5" t="n"/>
      <c r="D81" s="5">
        <f>IF(AND(B81&lt;&gt;"",C81&lt;&gt;""),C81-B81+1,"")</f>
        <v/>
      </c>
      <c r="E81" s="5">
        <f>IF(B81&lt;&gt;"",YEAR(B81),"")</f>
        <v/>
      </c>
      <c r="F81" s="6" t="n"/>
      <c r="G81" s="6" t="n"/>
      <c r="H81" s="6" t="n"/>
      <c r="I81" s="5">
        <f>IF(H81="","",IFERROR(INDEX(Szabályok!$B$13:$B$200,MATCH(H81,Szabályok!$A$13:$A$200,0)),""))</f>
        <v/>
      </c>
      <c r="J81" s="5">
        <f>IF(H81="","",IFERROR(INDEX(Szabályok!$C$13:$C$200,MATCH(H81,Szabályok!$A$13:$A$200,0)),""))</f>
        <v/>
      </c>
      <c r="K81" s="5">
        <f>IF(H81="","",IFERROR(INDEX(Szabályok!$D$13:$D$200,MATCH(H81,Szabályok!$A$13:$A$200,0)),""))</f>
        <v/>
      </c>
      <c r="L81" s="5">
        <f>IF(H81="","",IFERROR(INDEX(Szabályok!$E$13:$E$200,MATCH(H81,Szabályok!$A$13:$A$200,0)),""))</f>
        <v/>
      </c>
      <c r="M81" s="5">
        <f>IF(H81="","",IFERROR(INDEX(Szabályok!$F$13:$F$200,MATCH(H81,Szabályok!$A$13:$A$200,0)),""))</f>
        <v/>
      </c>
      <c r="N81" s="5">
        <f>IF(H81="","",IFERROR(INDEX(Szabályok!$G$13:$G$200,MATCH(H81,Szabályok!$A$13:$A$200,0)),""))</f>
        <v/>
      </c>
      <c r="O81" s="5">
        <f>IF(H81="","",IFERROR(INDEX(Szabályok!$H$13:$H$200,MATCH(H81,Szabályok!$A$13:$A$200,0)),""))</f>
        <v/>
      </c>
      <c r="P81" s="5" t="n"/>
      <c r="Q81" s="6" t="n"/>
      <c r="R81" s="6" t="n"/>
      <c r="S81" s="6">
        <f>IF(COUNT(Q81:R81)=0,"",SUM(Q81:R81))</f>
        <v/>
      </c>
      <c r="T81" s="6" t="n"/>
      <c r="U81" s="5">
        <f>IF(T81="","",IF(L81&lt;&gt;"IGEN","IGEN",IF(S81&gt;=T81,"IGEN","NEM")))</f>
        <v/>
      </c>
      <c r="V81" s="5" t="n"/>
      <c r="W81" s="5" t="n"/>
      <c r="X81" s="5" t="n"/>
      <c r="Y81" s="5" t="n"/>
      <c r="Z81" s="5">
        <f>IF(X81="","",IF(COUNTIFS($X$5:$X$304,X81,$I$5:$I$304,"&lt;"&amp;I81)=0,I81,""))</f>
        <v/>
      </c>
      <c r="AA81" s="5">
        <f>IF(X81="","",IF(COUNTIFS($X$5:$X$304,X81,$I$5:$I$304,"&lt;"&amp;I81)&gt;0,"NEM",IF(COUNTIFS($X$5:$X$304,X81,$I$5:$I$304,I81)=1,"IGEN",IF(Y81=1,"IGEN","NEM"))))</f>
        <v/>
      </c>
      <c r="AB81" s="5">
        <f>IF(OR(I81="",J81=""),"",IF(OR(I81=0,V81="IGEN",W81="IGEN"),"X",IF(AND(K81&lt;&gt;"IGEN",L81="IGEN",U81="NEM"),"X",IF(AA81="IGEN",J81,"X"))))</f>
        <v/>
      </c>
      <c r="AC81" s="5">
        <f>IF(AB81="X",0,IF(D81="","",D81))</f>
        <v/>
      </c>
      <c r="AD81" s="5">
        <f>IF(AB81="X",IF(D81="","",D81),0)</f>
        <v/>
      </c>
      <c r="AE81" s="6" t="n"/>
      <c r="AF81" s="6">
        <f>IF(E81="","",SUMIFS($AI$5:AI81,$E$5:E81,E81)-AI81)</f>
        <v/>
      </c>
      <c r="AG81" s="6">
        <f>IF(AE81="","",MAX(0,AE81-AF81))</f>
        <v/>
      </c>
      <c r="AH81" s="6">
        <f>IF(S81="","",IF(OR(I81=0,V81="IGEN",W81="IGEN"),0,IF(AND(K81&lt;&gt;"IGEN",L81="IGEN",U81="NEM"),0,S81)))</f>
        <v/>
      </c>
      <c r="AI81" s="6">
        <f>IF(AH81="","",IF(M81="IGEN",MIN(AH81,AG81),AH81))</f>
        <v/>
      </c>
      <c r="AJ81" s="5" t="n"/>
    </row>
    <row r="82">
      <c r="A82" s="5" t="n"/>
      <c r="B82" s="5" t="n"/>
      <c r="C82" s="5" t="n"/>
      <c r="D82" s="5">
        <f>IF(AND(B82&lt;&gt;"",C82&lt;&gt;""),C82-B82+1,"")</f>
        <v/>
      </c>
      <c r="E82" s="5">
        <f>IF(B82&lt;&gt;"",YEAR(B82),"")</f>
        <v/>
      </c>
      <c r="F82" s="6" t="n"/>
      <c r="G82" s="6" t="n"/>
      <c r="H82" s="6" t="n"/>
      <c r="I82" s="5">
        <f>IF(H82="","",IFERROR(INDEX(Szabályok!$B$13:$B$200,MATCH(H82,Szabályok!$A$13:$A$200,0)),""))</f>
        <v/>
      </c>
      <c r="J82" s="5">
        <f>IF(H82="","",IFERROR(INDEX(Szabályok!$C$13:$C$200,MATCH(H82,Szabályok!$A$13:$A$200,0)),""))</f>
        <v/>
      </c>
      <c r="K82" s="5">
        <f>IF(H82="","",IFERROR(INDEX(Szabályok!$D$13:$D$200,MATCH(H82,Szabályok!$A$13:$A$200,0)),""))</f>
        <v/>
      </c>
      <c r="L82" s="5">
        <f>IF(H82="","",IFERROR(INDEX(Szabályok!$E$13:$E$200,MATCH(H82,Szabályok!$A$13:$A$200,0)),""))</f>
        <v/>
      </c>
      <c r="M82" s="5">
        <f>IF(H82="","",IFERROR(INDEX(Szabályok!$F$13:$F$200,MATCH(H82,Szabályok!$A$13:$A$200,0)),""))</f>
        <v/>
      </c>
      <c r="N82" s="5">
        <f>IF(H82="","",IFERROR(INDEX(Szabályok!$G$13:$G$200,MATCH(H82,Szabályok!$A$13:$A$200,0)),""))</f>
        <v/>
      </c>
      <c r="O82" s="5">
        <f>IF(H82="","",IFERROR(INDEX(Szabályok!$H$13:$H$200,MATCH(H82,Szabályok!$A$13:$A$200,0)),""))</f>
        <v/>
      </c>
      <c r="P82" s="5" t="n"/>
      <c r="Q82" s="6" t="n"/>
      <c r="R82" s="6" t="n"/>
      <c r="S82" s="6">
        <f>IF(COUNT(Q82:R82)=0,"",SUM(Q82:R82))</f>
        <v/>
      </c>
      <c r="T82" s="6" t="n"/>
      <c r="U82" s="5">
        <f>IF(T82="","",IF(L82&lt;&gt;"IGEN","IGEN",IF(S82&gt;=T82,"IGEN","NEM")))</f>
        <v/>
      </c>
      <c r="V82" s="5" t="n"/>
      <c r="W82" s="5" t="n"/>
      <c r="X82" s="5" t="n"/>
      <c r="Y82" s="5" t="n"/>
      <c r="Z82" s="5">
        <f>IF(X82="","",IF(COUNTIFS($X$5:$X$304,X82,$I$5:$I$304,"&lt;"&amp;I82)=0,I82,""))</f>
        <v/>
      </c>
      <c r="AA82" s="5">
        <f>IF(X82="","",IF(COUNTIFS($X$5:$X$304,X82,$I$5:$I$304,"&lt;"&amp;I82)&gt;0,"NEM",IF(COUNTIFS($X$5:$X$304,X82,$I$5:$I$304,I82)=1,"IGEN",IF(Y82=1,"IGEN","NEM"))))</f>
        <v/>
      </c>
      <c r="AB82" s="5">
        <f>IF(OR(I82="",J82=""),"",IF(OR(I82=0,V82="IGEN",W82="IGEN"),"X",IF(AND(K82&lt;&gt;"IGEN",L82="IGEN",U82="NEM"),"X",IF(AA82="IGEN",J82,"X"))))</f>
        <v/>
      </c>
      <c r="AC82" s="5">
        <f>IF(AB82="X",0,IF(D82="","",D82))</f>
        <v/>
      </c>
      <c r="AD82" s="5">
        <f>IF(AB82="X",IF(D82="","",D82),0)</f>
        <v/>
      </c>
      <c r="AE82" s="6" t="n"/>
      <c r="AF82" s="6">
        <f>IF(E82="","",SUMIFS($AI$5:AI82,$E$5:E82,E82)-AI82)</f>
        <v/>
      </c>
      <c r="AG82" s="6">
        <f>IF(AE82="","",MAX(0,AE82-AF82))</f>
        <v/>
      </c>
      <c r="AH82" s="6">
        <f>IF(S82="","",IF(OR(I82=0,V82="IGEN",W82="IGEN"),0,IF(AND(K82&lt;&gt;"IGEN",L82="IGEN",U82="NEM"),0,S82)))</f>
        <v/>
      </c>
      <c r="AI82" s="6">
        <f>IF(AH82="","",IF(M82="IGEN",MIN(AH82,AG82),AH82))</f>
        <v/>
      </c>
      <c r="AJ82" s="5" t="n"/>
    </row>
    <row r="83">
      <c r="A83" s="5" t="n"/>
      <c r="B83" s="5" t="n"/>
      <c r="C83" s="5" t="n"/>
      <c r="D83" s="5">
        <f>IF(AND(B83&lt;&gt;"",C83&lt;&gt;""),C83-B83+1,"")</f>
        <v/>
      </c>
      <c r="E83" s="5">
        <f>IF(B83&lt;&gt;"",YEAR(B83),"")</f>
        <v/>
      </c>
      <c r="F83" s="6" t="n"/>
      <c r="G83" s="6" t="n"/>
      <c r="H83" s="6" t="n"/>
      <c r="I83" s="5">
        <f>IF(H83="","",IFERROR(INDEX(Szabályok!$B$13:$B$200,MATCH(H83,Szabályok!$A$13:$A$200,0)),""))</f>
        <v/>
      </c>
      <c r="J83" s="5">
        <f>IF(H83="","",IFERROR(INDEX(Szabályok!$C$13:$C$200,MATCH(H83,Szabályok!$A$13:$A$200,0)),""))</f>
        <v/>
      </c>
      <c r="K83" s="5">
        <f>IF(H83="","",IFERROR(INDEX(Szabályok!$D$13:$D$200,MATCH(H83,Szabályok!$A$13:$A$200,0)),""))</f>
        <v/>
      </c>
      <c r="L83" s="5">
        <f>IF(H83="","",IFERROR(INDEX(Szabályok!$E$13:$E$200,MATCH(H83,Szabályok!$A$13:$A$200,0)),""))</f>
        <v/>
      </c>
      <c r="M83" s="5">
        <f>IF(H83="","",IFERROR(INDEX(Szabályok!$F$13:$F$200,MATCH(H83,Szabályok!$A$13:$A$200,0)),""))</f>
        <v/>
      </c>
      <c r="N83" s="5">
        <f>IF(H83="","",IFERROR(INDEX(Szabályok!$G$13:$G$200,MATCH(H83,Szabályok!$A$13:$A$200,0)),""))</f>
        <v/>
      </c>
      <c r="O83" s="5">
        <f>IF(H83="","",IFERROR(INDEX(Szabályok!$H$13:$H$200,MATCH(H83,Szabályok!$A$13:$A$200,0)),""))</f>
        <v/>
      </c>
      <c r="P83" s="5" t="n"/>
      <c r="Q83" s="6" t="n"/>
      <c r="R83" s="6" t="n"/>
      <c r="S83" s="6">
        <f>IF(COUNT(Q83:R83)=0,"",SUM(Q83:R83))</f>
        <v/>
      </c>
      <c r="T83" s="6" t="n"/>
      <c r="U83" s="5">
        <f>IF(T83="","",IF(L83&lt;&gt;"IGEN","IGEN",IF(S83&gt;=T83,"IGEN","NEM")))</f>
        <v/>
      </c>
      <c r="V83" s="5" t="n"/>
      <c r="W83" s="5" t="n"/>
      <c r="X83" s="5" t="n"/>
      <c r="Y83" s="5" t="n"/>
      <c r="Z83" s="5">
        <f>IF(X83="","",IF(COUNTIFS($X$5:$X$304,X83,$I$5:$I$304,"&lt;"&amp;I83)=0,I83,""))</f>
        <v/>
      </c>
      <c r="AA83" s="5">
        <f>IF(X83="","",IF(COUNTIFS($X$5:$X$304,X83,$I$5:$I$304,"&lt;"&amp;I83)&gt;0,"NEM",IF(COUNTIFS($X$5:$X$304,X83,$I$5:$I$304,I83)=1,"IGEN",IF(Y83=1,"IGEN","NEM"))))</f>
        <v/>
      </c>
      <c r="AB83" s="5">
        <f>IF(OR(I83="",J83=""),"",IF(OR(I83=0,V83="IGEN",W83="IGEN"),"X",IF(AND(K83&lt;&gt;"IGEN",L83="IGEN",U83="NEM"),"X",IF(AA83="IGEN",J83,"X"))))</f>
        <v/>
      </c>
      <c r="AC83" s="5">
        <f>IF(AB83="X",0,IF(D83="","",D83))</f>
        <v/>
      </c>
      <c r="AD83" s="5">
        <f>IF(AB83="X",IF(D83="","",D83),0)</f>
        <v/>
      </c>
      <c r="AE83" s="6" t="n"/>
      <c r="AF83" s="6">
        <f>IF(E83="","",SUMIFS($AI$5:AI83,$E$5:E83,E83)-AI83)</f>
        <v/>
      </c>
      <c r="AG83" s="6">
        <f>IF(AE83="","",MAX(0,AE83-AF83))</f>
        <v/>
      </c>
      <c r="AH83" s="6">
        <f>IF(S83="","",IF(OR(I83=0,V83="IGEN",W83="IGEN"),0,IF(AND(K83&lt;&gt;"IGEN",L83="IGEN",U83="NEM"),0,S83)))</f>
        <v/>
      </c>
      <c r="AI83" s="6">
        <f>IF(AH83="","",IF(M83="IGEN",MIN(AH83,AG83),AH83))</f>
        <v/>
      </c>
      <c r="AJ83" s="5" t="n"/>
    </row>
    <row r="84">
      <c r="A84" s="5" t="n"/>
      <c r="B84" s="5" t="n"/>
      <c r="C84" s="5" t="n"/>
      <c r="D84" s="5">
        <f>IF(AND(B84&lt;&gt;"",C84&lt;&gt;""),C84-B84+1,"")</f>
        <v/>
      </c>
      <c r="E84" s="5">
        <f>IF(B84&lt;&gt;"",YEAR(B84),"")</f>
        <v/>
      </c>
      <c r="F84" s="6" t="n"/>
      <c r="G84" s="6" t="n"/>
      <c r="H84" s="6" t="n"/>
      <c r="I84" s="5">
        <f>IF(H84="","",IFERROR(INDEX(Szabályok!$B$13:$B$200,MATCH(H84,Szabályok!$A$13:$A$200,0)),""))</f>
        <v/>
      </c>
      <c r="J84" s="5">
        <f>IF(H84="","",IFERROR(INDEX(Szabályok!$C$13:$C$200,MATCH(H84,Szabályok!$A$13:$A$200,0)),""))</f>
        <v/>
      </c>
      <c r="K84" s="5">
        <f>IF(H84="","",IFERROR(INDEX(Szabályok!$D$13:$D$200,MATCH(H84,Szabályok!$A$13:$A$200,0)),""))</f>
        <v/>
      </c>
      <c r="L84" s="5">
        <f>IF(H84="","",IFERROR(INDEX(Szabályok!$E$13:$E$200,MATCH(H84,Szabályok!$A$13:$A$200,0)),""))</f>
        <v/>
      </c>
      <c r="M84" s="5">
        <f>IF(H84="","",IFERROR(INDEX(Szabályok!$F$13:$F$200,MATCH(H84,Szabályok!$A$13:$A$200,0)),""))</f>
        <v/>
      </c>
      <c r="N84" s="5">
        <f>IF(H84="","",IFERROR(INDEX(Szabályok!$G$13:$G$200,MATCH(H84,Szabályok!$A$13:$A$200,0)),""))</f>
        <v/>
      </c>
      <c r="O84" s="5">
        <f>IF(H84="","",IFERROR(INDEX(Szabályok!$H$13:$H$200,MATCH(H84,Szabályok!$A$13:$A$200,0)),""))</f>
        <v/>
      </c>
      <c r="P84" s="5" t="n"/>
      <c r="Q84" s="6" t="n"/>
      <c r="R84" s="6" t="n"/>
      <c r="S84" s="6">
        <f>IF(COUNT(Q84:R84)=0,"",SUM(Q84:R84))</f>
        <v/>
      </c>
      <c r="T84" s="6" t="n"/>
      <c r="U84" s="5">
        <f>IF(T84="","",IF(L84&lt;&gt;"IGEN","IGEN",IF(S84&gt;=T84,"IGEN","NEM")))</f>
        <v/>
      </c>
      <c r="V84" s="5" t="n"/>
      <c r="W84" s="5" t="n"/>
      <c r="X84" s="5" t="n"/>
      <c r="Y84" s="5" t="n"/>
      <c r="Z84" s="5">
        <f>IF(X84="","",IF(COUNTIFS($X$5:$X$304,X84,$I$5:$I$304,"&lt;"&amp;I84)=0,I84,""))</f>
        <v/>
      </c>
      <c r="AA84" s="5">
        <f>IF(X84="","",IF(COUNTIFS($X$5:$X$304,X84,$I$5:$I$304,"&lt;"&amp;I84)&gt;0,"NEM",IF(COUNTIFS($X$5:$X$304,X84,$I$5:$I$304,I84)=1,"IGEN",IF(Y84=1,"IGEN","NEM"))))</f>
        <v/>
      </c>
      <c r="AB84" s="5">
        <f>IF(OR(I84="",J84=""),"",IF(OR(I84=0,V84="IGEN",W84="IGEN"),"X",IF(AND(K84&lt;&gt;"IGEN",L84="IGEN",U84="NEM"),"X",IF(AA84="IGEN",J84,"X"))))</f>
        <v/>
      </c>
      <c r="AC84" s="5">
        <f>IF(AB84="X",0,IF(D84="","",D84))</f>
        <v/>
      </c>
      <c r="AD84" s="5">
        <f>IF(AB84="X",IF(D84="","",D84),0)</f>
        <v/>
      </c>
      <c r="AE84" s="6" t="n"/>
      <c r="AF84" s="6">
        <f>IF(E84="","",SUMIFS($AI$5:AI84,$E$5:E84,E84)-AI84)</f>
        <v/>
      </c>
      <c r="AG84" s="6">
        <f>IF(AE84="","",MAX(0,AE84-AF84))</f>
        <v/>
      </c>
      <c r="AH84" s="6">
        <f>IF(S84="","",IF(OR(I84=0,V84="IGEN",W84="IGEN"),0,IF(AND(K84&lt;&gt;"IGEN",L84="IGEN",U84="NEM"),0,S84)))</f>
        <v/>
      </c>
      <c r="AI84" s="6">
        <f>IF(AH84="","",IF(M84="IGEN",MIN(AH84,AG84),AH84))</f>
        <v/>
      </c>
      <c r="AJ84" s="5" t="n"/>
    </row>
    <row r="85">
      <c r="A85" s="5" t="n"/>
      <c r="B85" s="5" t="n"/>
      <c r="C85" s="5" t="n"/>
      <c r="D85" s="5">
        <f>IF(AND(B85&lt;&gt;"",C85&lt;&gt;""),C85-B85+1,"")</f>
        <v/>
      </c>
      <c r="E85" s="5">
        <f>IF(B85&lt;&gt;"",YEAR(B85),"")</f>
        <v/>
      </c>
      <c r="F85" s="6" t="n"/>
      <c r="G85" s="6" t="n"/>
      <c r="H85" s="6" t="n"/>
      <c r="I85" s="5">
        <f>IF(H85="","",IFERROR(INDEX(Szabályok!$B$13:$B$200,MATCH(H85,Szabályok!$A$13:$A$200,0)),""))</f>
        <v/>
      </c>
      <c r="J85" s="5">
        <f>IF(H85="","",IFERROR(INDEX(Szabályok!$C$13:$C$200,MATCH(H85,Szabályok!$A$13:$A$200,0)),""))</f>
        <v/>
      </c>
      <c r="K85" s="5">
        <f>IF(H85="","",IFERROR(INDEX(Szabályok!$D$13:$D$200,MATCH(H85,Szabályok!$A$13:$A$200,0)),""))</f>
        <v/>
      </c>
      <c r="L85" s="5">
        <f>IF(H85="","",IFERROR(INDEX(Szabályok!$E$13:$E$200,MATCH(H85,Szabályok!$A$13:$A$200,0)),""))</f>
        <v/>
      </c>
      <c r="M85" s="5">
        <f>IF(H85="","",IFERROR(INDEX(Szabályok!$F$13:$F$200,MATCH(H85,Szabályok!$A$13:$A$200,0)),""))</f>
        <v/>
      </c>
      <c r="N85" s="5">
        <f>IF(H85="","",IFERROR(INDEX(Szabályok!$G$13:$G$200,MATCH(H85,Szabályok!$A$13:$A$200,0)),""))</f>
        <v/>
      </c>
      <c r="O85" s="5">
        <f>IF(H85="","",IFERROR(INDEX(Szabályok!$H$13:$H$200,MATCH(H85,Szabályok!$A$13:$A$200,0)),""))</f>
        <v/>
      </c>
      <c r="P85" s="5" t="n"/>
      <c r="Q85" s="6" t="n"/>
      <c r="R85" s="6" t="n"/>
      <c r="S85" s="6">
        <f>IF(COUNT(Q85:R85)=0,"",SUM(Q85:R85))</f>
        <v/>
      </c>
      <c r="T85" s="6" t="n"/>
      <c r="U85" s="5">
        <f>IF(T85="","",IF(L85&lt;&gt;"IGEN","IGEN",IF(S85&gt;=T85,"IGEN","NEM")))</f>
        <v/>
      </c>
      <c r="V85" s="5" t="n"/>
      <c r="W85" s="5" t="n"/>
      <c r="X85" s="5" t="n"/>
      <c r="Y85" s="5" t="n"/>
      <c r="Z85" s="5">
        <f>IF(X85="","",IF(COUNTIFS($X$5:$X$304,X85,$I$5:$I$304,"&lt;"&amp;I85)=0,I85,""))</f>
        <v/>
      </c>
      <c r="AA85" s="5">
        <f>IF(X85="","",IF(COUNTIFS($X$5:$X$304,X85,$I$5:$I$304,"&lt;"&amp;I85)&gt;0,"NEM",IF(COUNTIFS($X$5:$X$304,X85,$I$5:$I$304,I85)=1,"IGEN",IF(Y85=1,"IGEN","NEM"))))</f>
        <v/>
      </c>
      <c r="AB85" s="5">
        <f>IF(OR(I85="",J85=""),"",IF(OR(I85=0,V85="IGEN",W85="IGEN"),"X",IF(AND(K85&lt;&gt;"IGEN",L85="IGEN",U85="NEM"),"X",IF(AA85="IGEN",J85,"X"))))</f>
        <v/>
      </c>
      <c r="AC85" s="5">
        <f>IF(AB85="X",0,IF(D85="","",D85))</f>
        <v/>
      </c>
      <c r="AD85" s="5">
        <f>IF(AB85="X",IF(D85="","",D85),0)</f>
        <v/>
      </c>
      <c r="AE85" s="6" t="n"/>
      <c r="AF85" s="6">
        <f>IF(E85="","",SUMIFS($AI$5:AI85,$E$5:E85,E85)-AI85)</f>
        <v/>
      </c>
      <c r="AG85" s="6">
        <f>IF(AE85="","",MAX(0,AE85-AF85))</f>
        <v/>
      </c>
      <c r="AH85" s="6">
        <f>IF(S85="","",IF(OR(I85=0,V85="IGEN",W85="IGEN"),0,IF(AND(K85&lt;&gt;"IGEN",L85="IGEN",U85="NEM"),0,S85)))</f>
        <v/>
      </c>
      <c r="AI85" s="6">
        <f>IF(AH85="","",IF(M85="IGEN",MIN(AH85,AG85),AH85))</f>
        <v/>
      </c>
      <c r="AJ85" s="5" t="n"/>
    </row>
    <row r="86">
      <c r="A86" s="5" t="n"/>
      <c r="B86" s="5" t="n"/>
      <c r="C86" s="5" t="n"/>
      <c r="D86" s="5">
        <f>IF(AND(B86&lt;&gt;"",C86&lt;&gt;""),C86-B86+1,"")</f>
        <v/>
      </c>
      <c r="E86" s="5">
        <f>IF(B86&lt;&gt;"",YEAR(B86),"")</f>
        <v/>
      </c>
      <c r="F86" s="6" t="n"/>
      <c r="G86" s="6" t="n"/>
      <c r="H86" s="6" t="n"/>
      <c r="I86" s="5">
        <f>IF(H86="","",IFERROR(INDEX(Szabályok!$B$13:$B$200,MATCH(H86,Szabályok!$A$13:$A$200,0)),""))</f>
        <v/>
      </c>
      <c r="J86" s="5">
        <f>IF(H86="","",IFERROR(INDEX(Szabályok!$C$13:$C$200,MATCH(H86,Szabályok!$A$13:$A$200,0)),""))</f>
        <v/>
      </c>
      <c r="K86" s="5">
        <f>IF(H86="","",IFERROR(INDEX(Szabályok!$D$13:$D$200,MATCH(H86,Szabályok!$A$13:$A$200,0)),""))</f>
        <v/>
      </c>
      <c r="L86" s="5">
        <f>IF(H86="","",IFERROR(INDEX(Szabályok!$E$13:$E$200,MATCH(H86,Szabályok!$A$13:$A$200,0)),""))</f>
        <v/>
      </c>
      <c r="M86" s="5">
        <f>IF(H86="","",IFERROR(INDEX(Szabályok!$F$13:$F$200,MATCH(H86,Szabályok!$A$13:$A$200,0)),""))</f>
        <v/>
      </c>
      <c r="N86" s="5">
        <f>IF(H86="","",IFERROR(INDEX(Szabályok!$G$13:$G$200,MATCH(H86,Szabályok!$A$13:$A$200,0)),""))</f>
        <v/>
      </c>
      <c r="O86" s="5">
        <f>IF(H86="","",IFERROR(INDEX(Szabályok!$H$13:$H$200,MATCH(H86,Szabályok!$A$13:$A$200,0)),""))</f>
        <v/>
      </c>
      <c r="P86" s="5" t="n"/>
      <c r="Q86" s="6" t="n"/>
      <c r="R86" s="6" t="n"/>
      <c r="S86" s="6">
        <f>IF(COUNT(Q86:R86)=0,"",SUM(Q86:R86))</f>
        <v/>
      </c>
      <c r="T86" s="6" t="n"/>
      <c r="U86" s="5">
        <f>IF(T86="","",IF(L86&lt;&gt;"IGEN","IGEN",IF(S86&gt;=T86,"IGEN","NEM")))</f>
        <v/>
      </c>
      <c r="V86" s="5" t="n"/>
      <c r="W86" s="5" t="n"/>
      <c r="X86" s="5" t="n"/>
      <c r="Y86" s="5" t="n"/>
      <c r="Z86" s="5">
        <f>IF(X86="","",IF(COUNTIFS($X$5:$X$304,X86,$I$5:$I$304,"&lt;"&amp;I86)=0,I86,""))</f>
        <v/>
      </c>
      <c r="AA86" s="5">
        <f>IF(X86="","",IF(COUNTIFS($X$5:$X$304,X86,$I$5:$I$304,"&lt;"&amp;I86)&gt;0,"NEM",IF(COUNTIFS($X$5:$X$304,X86,$I$5:$I$304,I86)=1,"IGEN",IF(Y86=1,"IGEN","NEM"))))</f>
        <v/>
      </c>
      <c r="AB86" s="5">
        <f>IF(OR(I86="",J86=""),"",IF(OR(I86=0,V86="IGEN",W86="IGEN"),"X",IF(AND(K86&lt;&gt;"IGEN",L86="IGEN",U86="NEM"),"X",IF(AA86="IGEN",J86,"X"))))</f>
        <v/>
      </c>
      <c r="AC86" s="5">
        <f>IF(AB86="X",0,IF(D86="","",D86))</f>
        <v/>
      </c>
      <c r="AD86" s="5">
        <f>IF(AB86="X",IF(D86="","",D86),0)</f>
        <v/>
      </c>
      <c r="AE86" s="6" t="n"/>
      <c r="AF86" s="6">
        <f>IF(E86="","",SUMIFS($AI$5:AI86,$E$5:E86,E86)-AI86)</f>
        <v/>
      </c>
      <c r="AG86" s="6">
        <f>IF(AE86="","",MAX(0,AE86-AF86))</f>
        <v/>
      </c>
      <c r="AH86" s="6">
        <f>IF(S86="","",IF(OR(I86=0,V86="IGEN",W86="IGEN"),0,IF(AND(K86&lt;&gt;"IGEN",L86="IGEN",U86="NEM"),0,S86)))</f>
        <v/>
      </c>
      <c r="AI86" s="6">
        <f>IF(AH86="","",IF(M86="IGEN",MIN(AH86,AG86),AH86))</f>
        <v/>
      </c>
      <c r="AJ86" s="5" t="n"/>
    </row>
    <row r="87">
      <c r="A87" s="5" t="n"/>
      <c r="B87" s="5" t="n"/>
      <c r="C87" s="5" t="n"/>
      <c r="D87" s="5">
        <f>IF(AND(B87&lt;&gt;"",C87&lt;&gt;""),C87-B87+1,"")</f>
        <v/>
      </c>
      <c r="E87" s="5">
        <f>IF(B87&lt;&gt;"",YEAR(B87),"")</f>
        <v/>
      </c>
      <c r="F87" s="6" t="n"/>
      <c r="G87" s="6" t="n"/>
      <c r="H87" s="6" t="n"/>
      <c r="I87" s="5">
        <f>IF(H87="","",IFERROR(INDEX(Szabályok!$B$13:$B$200,MATCH(H87,Szabályok!$A$13:$A$200,0)),""))</f>
        <v/>
      </c>
      <c r="J87" s="5">
        <f>IF(H87="","",IFERROR(INDEX(Szabályok!$C$13:$C$200,MATCH(H87,Szabályok!$A$13:$A$200,0)),""))</f>
        <v/>
      </c>
      <c r="K87" s="5">
        <f>IF(H87="","",IFERROR(INDEX(Szabályok!$D$13:$D$200,MATCH(H87,Szabályok!$A$13:$A$200,0)),""))</f>
        <v/>
      </c>
      <c r="L87" s="5">
        <f>IF(H87="","",IFERROR(INDEX(Szabályok!$E$13:$E$200,MATCH(H87,Szabályok!$A$13:$A$200,0)),""))</f>
        <v/>
      </c>
      <c r="M87" s="5">
        <f>IF(H87="","",IFERROR(INDEX(Szabályok!$F$13:$F$200,MATCH(H87,Szabályok!$A$13:$A$200,0)),""))</f>
        <v/>
      </c>
      <c r="N87" s="5">
        <f>IF(H87="","",IFERROR(INDEX(Szabályok!$G$13:$G$200,MATCH(H87,Szabályok!$A$13:$A$200,0)),""))</f>
        <v/>
      </c>
      <c r="O87" s="5">
        <f>IF(H87="","",IFERROR(INDEX(Szabályok!$H$13:$H$200,MATCH(H87,Szabályok!$A$13:$A$200,0)),""))</f>
        <v/>
      </c>
      <c r="P87" s="5" t="n"/>
      <c r="Q87" s="6" t="n"/>
      <c r="R87" s="6" t="n"/>
      <c r="S87" s="6">
        <f>IF(COUNT(Q87:R87)=0,"",SUM(Q87:R87))</f>
        <v/>
      </c>
      <c r="T87" s="6" t="n"/>
      <c r="U87" s="5">
        <f>IF(T87="","",IF(L87&lt;&gt;"IGEN","IGEN",IF(S87&gt;=T87,"IGEN","NEM")))</f>
        <v/>
      </c>
      <c r="V87" s="5" t="n"/>
      <c r="W87" s="5" t="n"/>
      <c r="X87" s="5" t="n"/>
      <c r="Y87" s="5" t="n"/>
      <c r="Z87" s="5">
        <f>IF(X87="","",IF(COUNTIFS($X$5:$X$304,X87,$I$5:$I$304,"&lt;"&amp;I87)=0,I87,""))</f>
        <v/>
      </c>
      <c r="AA87" s="5">
        <f>IF(X87="","",IF(COUNTIFS($X$5:$X$304,X87,$I$5:$I$304,"&lt;"&amp;I87)&gt;0,"NEM",IF(COUNTIFS($X$5:$X$304,X87,$I$5:$I$304,I87)=1,"IGEN",IF(Y87=1,"IGEN","NEM"))))</f>
        <v/>
      </c>
      <c r="AB87" s="5">
        <f>IF(OR(I87="",J87=""),"",IF(OR(I87=0,V87="IGEN",W87="IGEN"),"X",IF(AND(K87&lt;&gt;"IGEN",L87="IGEN",U87="NEM"),"X",IF(AA87="IGEN",J87,"X"))))</f>
        <v/>
      </c>
      <c r="AC87" s="5">
        <f>IF(AB87="X",0,IF(D87="","",D87))</f>
        <v/>
      </c>
      <c r="AD87" s="5">
        <f>IF(AB87="X",IF(D87="","",D87),0)</f>
        <v/>
      </c>
      <c r="AE87" s="6" t="n"/>
      <c r="AF87" s="6">
        <f>IF(E87="","",SUMIFS($AI$5:AI87,$E$5:E87,E87)-AI87)</f>
        <v/>
      </c>
      <c r="AG87" s="6">
        <f>IF(AE87="","",MAX(0,AE87-AF87))</f>
        <v/>
      </c>
      <c r="AH87" s="6">
        <f>IF(S87="","",IF(OR(I87=0,V87="IGEN",W87="IGEN"),0,IF(AND(K87&lt;&gt;"IGEN",L87="IGEN",U87="NEM"),0,S87)))</f>
        <v/>
      </c>
      <c r="AI87" s="6">
        <f>IF(AH87="","",IF(M87="IGEN",MIN(AH87,AG87),AH87))</f>
        <v/>
      </c>
      <c r="AJ87" s="5" t="n"/>
    </row>
    <row r="88">
      <c r="A88" s="5" t="n"/>
      <c r="B88" s="5" t="n"/>
      <c r="C88" s="5" t="n"/>
      <c r="D88" s="5">
        <f>IF(AND(B88&lt;&gt;"",C88&lt;&gt;""),C88-B88+1,"")</f>
        <v/>
      </c>
      <c r="E88" s="5">
        <f>IF(B88&lt;&gt;"",YEAR(B88),"")</f>
        <v/>
      </c>
      <c r="F88" s="6" t="n"/>
      <c r="G88" s="6" t="n"/>
      <c r="H88" s="6" t="n"/>
      <c r="I88" s="5">
        <f>IF(H88="","",IFERROR(INDEX(Szabályok!$B$13:$B$200,MATCH(H88,Szabályok!$A$13:$A$200,0)),""))</f>
        <v/>
      </c>
      <c r="J88" s="5">
        <f>IF(H88="","",IFERROR(INDEX(Szabályok!$C$13:$C$200,MATCH(H88,Szabályok!$A$13:$A$200,0)),""))</f>
        <v/>
      </c>
      <c r="K88" s="5">
        <f>IF(H88="","",IFERROR(INDEX(Szabályok!$D$13:$D$200,MATCH(H88,Szabályok!$A$13:$A$200,0)),""))</f>
        <v/>
      </c>
      <c r="L88" s="5">
        <f>IF(H88="","",IFERROR(INDEX(Szabályok!$E$13:$E$200,MATCH(H88,Szabályok!$A$13:$A$200,0)),""))</f>
        <v/>
      </c>
      <c r="M88" s="5">
        <f>IF(H88="","",IFERROR(INDEX(Szabályok!$F$13:$F$200,MATCH(H88,Szabályok!$A$13:$A$200,0)),""))</f>
        <v/>
      </c>
      <c r="N88" s="5">
        <f>IF(H88="","",IFERROR(INDEX(Szabályok!$G$13:$G$200,MATCH(H88,Szabályok!$A$13:$A$200,0)),""))</f>
        <v/>
      </c>
      <c r="O88" s="5">
        <f>IF(H88="","",IFERROR(INDEX(Szabályok!$H$13:$H$200,MATCH(H88,Szabályok!$A$13:$A$200,0)),""))</f>
        <v/>
      </c>
      <c r="P88" s="5" t="n"/>
      <c r="Q88" s="6" t="n"/>
      <c r="R88" s="6" t="n"/>
      <c r="S88" s="6">
        <f>IF(COUNT(Q88:R88)=0,"",SUM(Q88:R88))</f>
        <v/>
      </c>
      <c r="T88" s="6" t="n"/>
      <c r="U88" s="5">
        <f>IF(T88="","",IF(L88&lt;&gt;"IGEN","IGEN",IF(S88&gt;=T88,"IGEN","NEM")))</f>
        <v/>
      </c>
      <c r="V88" s="5" t="n"/>
      <c r="W88" s="5" t="n"/>
      <c r="X88" s="5" t="n"/>
      <c r="Y88" s="5" t="n"/>
      <c r="Z88" s="5">
        <f>IF(X88="","",IF(COUNTIFS($X$5:$X$304,X88,$I$5:$I$304,"&lt;"&amp;I88)=0,I88,""))</f>
        <v/>
      </c>
      <c r="AA88" s="5">
        <f>IF(X88="","",IF(COUNTIFS($X$5:$X$304,X88,$I$5:$I$304,"&lt;"&amp;I88)&gt;0,"NEM",IF(COUNTIFS($X$5:$X$304,X88,$I$5:$I$304,I88)=1,"IGEN",IF(Y88=1,"IGEN","NEM"))))</f>
        <v/>
      </c>
      <c r="AB88" s="5">
        <f>IF(OR(I88="",J88=""),"",IF(OR(I88=0,V88="IGEN",W88="IGEN"),"X",IF(AND(K88&lt;&gt;"IGEN",L88="IGEN",U88="NEM"),"X",IF(AA88="IGEN",J88,"X"))))</f>
        <v/>
      </c>
      <c r="AC88" s="5">
        <f>IF(AB88="X",0,IF(D88="","",D88))</f>
        <v/>
      </c>
      <c r="AD88" s="5">
        <f>IF(AB88="X",IF(D88="","",D88),0)</f>
        <v/>
      </c>
      <c r="AE88" s="6" t="n"/>
      <c r="AF88" s="6">
        <f>IF(E88="","",SUMIFS($AI$5:AI88,$E$5:E88,E88)-AI88)</f>
        <v/>
      </c>
      <c r="AG88" s="6">
        <f>IF(AE88="","",MAX(0,AE88-AF88))</f>
        <v/>
      </c>
      <c r="AH88" s="6">
        <f>IF(S88="","",IF(OR(I88=0,V88="IGEN",W88="IGEN"),0,IF(AND(K88&lt;&gt;"IGEN",L88="IGEN",U88="NEM"),0,S88)))</f>
        <v/>
      </c>
      <c r="AI88" s="6">
        <f>IF(AH88="","",IF(M88="IGEN",MIN(AH88,AG88),AH88))</f>
        <v/>
      </c>
      <c r="AJ88" s="5" t="n"/>
    </row>
    <row r="89">
      <c r="A89" s="5" t="n"/>
      <c r="B89" s="5" t="n"/>
      <c r="C89" s="5" t="n"/>
      <c r="D89" s="5">
        <f>IF(AND(B89&lt;&gt;"",C89&lt;&gt;""),C89-B89+1,"")</f>
        <v/>
      </c>
      <c r="E89" s="5">
        <f>IF(B89&lt;&gt;"",YEAR(B89),"")</f>
        <v/>
      </c>
      <c r="F89" s="6" t="n"/>
      <c r="G89" s="6" t="n"/>
      <c r="H89" s="6" t="n"/>
      <c r="I89" s="5">
        <f>IF(H89="","",IFERROR(INDEX(Szabályok!$B$13:$B$200,MATCH(H89,Szabályok!$A$13:$A$200,0)),""))</f>
        <v/>
      </c>
      <c r="J89" s="5">
        <f>IF(H89="","",IFERROR(INDEX(Szabályok!$C$13:$C$200,MATCH(H89,Szabályok!$A$13:$A$200,0)),""))</f>
        <v/>
      </c>
      <c r="K89" s="5">
        <f>IF(H89="","",IFERROR(INDEX(Szabályok!$D$13:$D$200,MATCH(H89,Szabályok!$A$13:$A$200,0)),""))</f>
        <v/>
      </c>
      <c r="L89" s="5">
        <f>IF(H89="","",IFERROR(INDEX(Szabályok!$E$13:$E$200,MATCH(H89,Szabályok!$A$13:$A$200,0)),""))</f>
        <v/>
      </c>
      <c r="M89" s="5">
        <f>IF(H89="","",IFERROR(INDEX(Szabályok!$F$13:$F$200,MATCH(H89,Szabályok!$A$13:$A$200,0)),""))</f>
        <v/>
      </c>
      <c r="N89" s="5">
        <f>IF(H89="","",IFERROR(INDEX(Szabályok!$G$13:$G$200,MATCH(H89,Szabályok!$A$13:$A$200,0)),""))</f>
        <v/>
      </c>
      <c r="O89" s="5">
        <f>IF(H89="","",IFERROR(INDEX(Szabályok!$H$13:$H$200,MATCH(H89,Szabályok!$A$13:$A$200,0)),""))</f>
        <v/>
      </c>
      <c r="P89" s="5" t="n"/>
      <c r="Q89" s="6" t="n"/>
      <c r="R89" s="6" t="n"/>
      <c r="S89" s="6">
        <f>IF(COUNT(Q89:R89)=0,"",SUM(Q89:R89))</f>
        <v/>
      </c>
      <c r="T89" s="6" t="n"/>
      <c r="U89" s="5">
        <f>IF(T89="","",IF(L89&lt;&gt;"IGEN","IGEN",IF(S89&gt;=T89,"IGEN","NEM")))</f>
        <v/>
      </c>
      <c r="V89" s="5" t="n"/>
      <c r="W89" s="5" t="n"/>
      <c r="X89" s="5" t="n"/>
      <c r="Y89" s="5" t="n"/>
      <c r="Z89" s="5">
        <f>IF(X89="","",IF(COUNTIFS($X$5:$X$304,X89,$I$5:$I$304,"&lt;"&amp;I89)=0,I89,""))</f>
        <v/>
      </c>
      <c r="AA89" s="5">
        <f>IF(X89="","",IF(COUNTIFS($X$5:$X$304,X89,$I$5:$I$304,"&lt;"&amp;I89)&gt;0,"NEM",IF(COUNTIFS($X$5:$X$304,X89,$I$5:$I$304,I89)=1,"IGEN",IF(Y89=1,"IGEN","NEM"))))</f>
        <v/>
      </c>
      <c r="AB89" s="5">
        <f>IF(OR(I89="",J89=""),"",IF(OR(I89=0,V89="IGEN",W89="IGEN"),"X",IF(AND(K89&lt;&gt;"IGEN",L89="IGEN",U89="NEM"),"X",IF(AA89="IGEN",J89,"X"))))</f>
        <v/>
      </c>
      <c r="AC89" s="5">
        <f>IF(AB89="X",0,IF(D89="","",D89))</f>
        <v/>
      </c>
      <c r="AD89" s="5">
        <f>IF(AB89="X",IF(D89="","",D89),0)</f>
        <v/>
      </c>
      <c r="AE89" s="6" t="n"/>
      <c r="AF89" s="6">
        <f>IF(E89="","",SUMIFS($AI$5:AI89,$E$5:E89,E89)-AI89)</f>
        <v/>
      </c>
      <c r="AG89" s="6">
        <f>IF(AE89="","",MAX(0,AE89-AF89))</f>
        <v/>
      </c>
      <c r="AH89" s="6">
        <f>IF(S89="","",IF(OR(I89=0,V89="IGEN",W89="IGEN"),0,IF(AND(K89&lt;&gt;"IGEN",L89="IGEN",U89="NEM"),0,S89)))</f>
        <v/>
      </c>
      <c r="AI89" s="6">
        <f>IF(AH89="","",IF(M89="IGEN",MIN(AH89,AG89),AH89))</f>
        <v/>
      </c>
      <c r="AJ89" s="5" t="n"/>
    </row>
    <row r="90">
      <c r="A90" s="5" t="n"/>
      <c r="B90" s="5" t="n"/>
      <c r="C90" s="5" t="n"/>
      <c r="D90" s="5">
        <f>IF(AND(B90&lt;&gt;"",C90&lt;&gt;""),C90-B90+1,"")</f>
        <v/>
      </c>
      <c r="E90" s="5">
        <f>IF(B90&lt;&gt;"",YEAR(B90),"")</f>
        <v/>
      </c>
      <c r="F90" s="6" t="n"/>
      <c r="G90" s="6" t="n"/>
      <c r="H90" s="6" t="n"/>
      <c r="I90" s="5">
        <f>IF(H90="","",IFERROR(INDEX(Szabályok!$B$13:$B$200,MATCH(H90,Szabályok!$A$13:$A$200,0)),""))</f>
        <v/>
      </c>
      <c r="J90" s="5">
        <f>IF(H90="","",IFERROR(INDEX(Szabályok!$C$13:$C$200,MATCH(H90,Szabályok!$A$13:$A$200,0)),""))</f>
        <v/>
      </c>
      <c r="K90" s="5">
        <f>IF(H90="","",IFERROR(INDEX(Szabályok!$D$13:$D$200,MATCH(H90,Szabályok!$A$13:$A$200,0)),""))</f>
        <v/>
      </c>
      <c r="L90" s="5">
        <f>IF(H90="","",IFERROR(INDEX(Szabályok!$E$13:$E$200,MATCH(H90,Szabályok!$A$13:$A$200,0)),""))</f>
        <v/>
      </c>
      <c r="M90" s="5">
        <f>IF(H90="","",IFERROR(INDEX(Szabályok!$F$13:$F$200,MATCH(H90,Szabályok!$A$13:$A$200,0)),""))</f>
        <v/>
      </c>
      <c r="N90" s="5">
        <f>IF(H90="","",IFERROR(INDEX(Szabályok!$G$13:$G$200,MATCH(H90,Szabályok!$A$13:$A$200,0)),""))</f>
        <v/>
      </c>
      <c r="O90" s="5">
        <f>IF(H90="","",IFERROR(INDEX(Szabályok!$H$13:$H$200,MATCH(H90,Szabályok!$A$13:$A$200,0)),""))</f>
        <v/>
      </c>
      <c r="P90" s="5" t="n"/>
      <c r="Q90" s="6" t="n"/>
      <c r="R90" s="6" t="n"/>
      <c r="S90" s="6">
        <f>IF(COUNT(Q90:R90)=0,"",SUM(Q90:R90))</f>
        <v/>
      </c>
      <c r="T90" s="6" t="n"/>
      <c r="U90" s="5">
        <f>IF(T90="","",IF(L90&lt;&gt;"IGEN","IGEN",IF(S90&gt;=T90,"IGEN","NEM")))</f>
        <v/>
      </c>
      <c r="V90" s="5" t="n"/>
      <c r="W90" s="5" t="n"/>
      <c r="X90" s="5" t="n"/>
      <c r="Y90" s="5" t="n"/>
      <c r="Z90" s="5">
        <f>IF(X90="","",IF(COUNTIFS($X$5:$X$304,X90,$I$5:$I$304,"&lt;"&amp;I90)=0,I90,""))</f>
        <v/>
      </c>
      <c r="AA90" s="5">
        <f>IF(X90="","",IF(COUNTIFS($X$5:$X$304,X90,$I$5:$I$304,"&lt;"&amp;I90)&gt;0,"NEM",IF(COUNTIFS($X$5:$X$304,X90,$I$5:$I$304,I90)=1,"IGEN",IF(Y90=1,"IGEN","NEM"))))</f>
        <v/>
      </c>
      <c r="AB90" s="5">
        <f>IF(OR(I90="",J90=""),"",IF(OR(I90=0,V90="IGEN",W90="IGEN"),"X",IF(AND(K90&lt;&gt;"IGEN",L90="IGEN",U90="NEM"),"X",IF(AA90="IGEN",J90,"X"))))</f>
        <v/>
      </c>
      <c r="AC90" s="5">
        <f>IF(AB90="X",0,IF(D90="","",D90))</f>
        <v/>
      </c>
      <c r="AD90" s="5">
        <f>IF(AB90="X",IF(D90="","",D90),0)</f>
        <v/>
      </c>
      <c r="AE90" s="6" t="n"/>
      <c r="AF90" s="6">
        <f>IF(E90="","",SUMIFS($AI$5:AI90,$E$5:E90,E90)-AI90)</f>
        <v/>
      </c>
      <c r="AG90" s="6">
        <f>IF(AE90="","",MAX(0,AE90-AF90))</f>
        <v/>
      </c>
      <c r="AH90" s="6">
        <f>IF(S90="","",IF(OR(I90=0,V90="IGEN",W90="IGEN"),0,IF(AND(K90&lt;&gt;"IGEN",L90="IGEN",U90="NEM"),0,S90)))</f>
        <v/>
      </c>
      <c r="AI90" s="6">
        <f>IF(AH90="","",IF(M90="IGEN",MIN(AH90,AG90),AH90))</f>
        <v/>
      </c>
      <c r="AJ90" s="5" t="n"/>
    </row>
    <row r="91">
      <c r="A91" s="5" t="n"/>
      <c r="B91" s="5" t="n"/>
      <c r="C91" s="5" t="n"/>
      <c r="D91" s="5">
        <f>IF(AND(B91&lt;&gt;"",C91&lt;&gt;""),C91-B91+1,"")</f>
        <v/>
      </c>
      <c r="E91" s="5">
        <f>IF(B91&lt;&gt;"",YEAR(B91),"")</f>
        <v/>
      </c>
      <c r="F91" s="6" t="n"/>
      <c r="G91" s="6" t="n"/>
      <c r="H91" s="6" t="n"/>
      <c r="I91" s="5">
        <f>IF(H91="","",IFERROR(INDEX(Szabályok!$B$13:$B$200,MATCH(H91,Szabályok!$A$13:$A$200,0)),""))</f>
        <v/>
      </c>
      <c r="J91" s="5">
        <f>IF(H91="","",IFERROR(INDEX(Szabályok!$C$13:$C$200,MATCH(H91,Szabályok!$A$13:$A$200,0)),""))</f>
        <v/>
      </c>
      <c r="K91" s="5">
        <f>IF(H91="","",IFERROR(INDEX(Szabályok!$D$13:$D$200,MATCH(H91,Szabályok!$A$13:$A$200,0)),""))</f>
        <v/>
      </c>
      <c r="L91" s="5">
        <f>IF(H91="","",IFERROR(INDEX(Szabályok!$E$13:$E$200,MATCH(H91,Szabályok!$A$13:$A$200,0)),""))</f>
        <v/>
      </c>
      <c r="M91" s="5">
        <f>IF(H91="","",IFERROR(INDEX(Szabályok!$F$13:$F$200,MATCH(H91,Szabályok!$A$13:$A$200,0)),""))</f>
        <v/>
      </c>
      <c r="N91" s="5">
        <f>IF(H91="","",IFERROR(INDEX(Szabályok!$G$13:$G$200,MATCH(H91,Szabályok!$A$13:$A$200,0)),""))</f>
        <v/>
      </c>
      <c r="O91" s="5">
        <f>IF(H91="","",IFERROR(INDEX(Szabályok!$H$13:$H$200,MATCH(H91,Szabályok!$A$13:$A$200,0)),""))</f>
        <v/>
      </c>
      <c r="P91" s="5" t="n"/>
      <c r="Q91" s="6" t="n"/>
      <c r="R91" s="6" t="n"/>
      <c r="S91" s="6">
        <f>IF(COUNT(Q91:R91)=0,"",SUM(Q91:R91))</f>
        <v/>
      </c>
      <c r="T91" s="6" t="n"/>
      <c r="U91" s="5">
        <f>IF(T91="","",IF(L91&lt;&gt;"IGEN","IGEN",IF(S91&gt;=T91,"IGEN","NEM")))</f>
        <v/>
      </c>
      <c r="V91" s="5" t="n"/>
      <c r="W91" s="5" t="n"/>
      <c r="X91" s="5" t="n"/>
      <c r="Y91" s="5" t="n"/>
      <c r="Z91" s="5">
        <f>IF(X91="","",IF(COUNTIFS($X$5:$X$304,X91,$I$5:$I$304,"&lt;"&amp;I91)=0,I91,""))</f>
        <v/>
      </c>
      <c r="AA91" s="5">
        <f>IF(X91="","",IF(COUNTIFS($X$5:$X$304,X91,$I$5:$I$304,"&lt;"&amp;I91)&gt;0,"NEM",IF(COUNTIFS($X$5:$X$304,X91,$I$5:$I$304,I91)=1,"IGEN",IF(Y91=1,"IGEN","NEM"))))</f>
        <v/>
      </c>
      <c r="AB91" s="5">
        <f>IF(OR(I91="",J91=""),"",IF(OR(I91=0,V91="IGEN",W91="IGEN"),"X",IF(AND(K91&lt;&gt;"IGEN",L91="IGEN",U91="NEM"),"X",IF(AA91="IGEN",J91,"X"))))</f>
        <v/>
      </c>
      <c r="AC91" s="5">
        <f>IF(AB91="X",0,IF(D91="","",D91))</f>
        <v/>
      </c>
      <c r="AD91" s="5">
        <f>IF(AB91="X",IF(D91="","",D91),0)</f>
        <v/>
      </c>
      <c r="AE91" s="6" t="n"/>
      <c r="AF91" s="6">
        <f>IF(E91="","",SUMIFS($AI$5:AI91,$E$5:E91,E91)-AI91)</f>
        <v/>
      </c>
      <c r="AG91" s="6">
        <f>IF(AE91="","",MAX(0,AE91-AF91))</f>
        <v/>
      </c>
      <c r="AH91" s="6">
        <f>IF(S91="","",IF(OR(I91=0,V91="IGEN",W91="IGEN"),0,IF(AND(K91&lt;&gt;"IGEN",L91="IGEN",U91="NEM"),0,S91)))</f>
        <v/>
      </c>
      <c r="AI91" s="6">
        <f>IF(AH91="","",IF(M91="IGEN",MIN(AH91,AG91),AH91))</f>
        <v/>
      </c>
      <c r="AJ91" s="5" t="n"/>
    </row>
    <row r="92">
      <c r="A92" s="5" t="n"/>
      <c r="B92" s="5" t="n"/>
      <c r="C92" s="5" t="n"/>
      <c r="D92" s="5">
        <f>IF(AND(B92&lt;&gt;"",C92&lt;&gt;""),C92-B92+1,"")</f>
        <v/>
      </c>
      <c r="E92" s="5">
        <f>IF(B92&lt;&gt;"",YEAR(B92),"")</f>
        <v/>
      </c>
      <c r="F92" s="6" t="n"/>
      <c r="G92" s="6" t="n"/>
      <c r="H92" s="6" t="n"/>
      <c r="I92" s="5">
        <f>IF(H92="","",IFERROR(INDEX(Szabályok!$B$13:$B$200,MATCH(H92,Szabályok!$A$13:$A$200,0)),""))</f>
        <v/>
      </c>
      <c r="J92" s="5">
        <f>IF(H92="","",IFERROR(INDEX(Szabályok!$C$13:$C$200,MATCH(H92,Szabályok!$A$13:$A$200,0)),""))</f>
        <v/>
      </c>
      <c r="K92" s="5">
        <f>IF(H92="","",IFERROR(INDEX(Szabályok!$D$13:$D$200,MATCH(H92,Szabályok!$A$13:$A$200,0)),""))</f>
        <v/>
      </c>
      <c r="L92" s="5">
        <f>IF(H92="","",IFERROR(INDEX(Szabályok!$E$13:$E$200,MATCH(H92,Szabályok!$A$13:$A$200,0)),""))</f>
        <v/>
      </c>
      <c r="M92" s="5">
        <f>IF(H92="","",IFERROR(INDEX(Szabályok!$F$13:$F$200,MATCH(H92,Szabályok!$A$13:$A$200,0)),""))</f>
        <v/>
      </c>
      <c r="N92" s="5">
        <f>IF(H92="","",IFERROR(INDEX(Szabályok!$G$13:$G$200,MATCH(H92,Szabályok!$A$13:$A$200,0)),""))</f>
        <v/>
      </c>
      <c r="O92" s="5">
        <f>IF(H92="","",IFERROR(INDEX(Szabályok!$H$13:$H$200,MATCH(H92,Szabályok!$A$13:$A$200,0)),""))</f>
        <v/>
      </c>
      <c r="P92" s="5" t="n"/>
      <c r="Q92" s="6" t="n"/>
      <c r="R92" s="6" t="n"/>
      <c r="S92" s="6">
        <f>IF(COUNT(Q92:R92)=0,"",SUM(Q92:R92))</f>
        <v/>
      </c>
      <c r="T92" s="6" t="n"/>
      <c r="U92" s="5">
        <f>IF(T92="","",IF(L92&lt;&gt;"IGEN","IGEN",IF(S92&gt;=T92,"IGEN","NEM")))</f>
        <v/>
      </c>
      <c r="V92" s="5" t="n"/>
      <c r="W92" s="5" t="n"/>
      <c r="X92" s="5" t="n"/>
      <c r="Y92" s="5" t="n"/>
      <c r="Z92" s="5">
        <f>IF(X92="","",IF(COUNTIFS($X$5:$X$304,X92,$I$5:$I$304,"&lt;"&amp;I92)=0,I92,""))</f>
        <v/>
      </c>
      <c r="AA92" s="5">
        <f>IF(X92="","",IF(COUNTIFS($X$5:$X$304,X92,$I$5:$I$304,"&lt;"&amp;I92)&gt;0,"NEM",IF(COUNTIFS($X$5:$X$304,X92,$I$5:$I$304,I92)=1,"IGEN",IF(Y92=1,"IGEN","NEM"))))</f>
        <v/>
      </c>
      <c r="AB92" s="5">
        <f>IF(OR(I92="",J92=""),"",IF(OR(I92=0,V92="IGEN",W92="IGEN"),"X",IF(AND(K92&lt;&gt;"IGEN",L92="IGEN",U92="NEM"),"X",IF(AA92="IGEN",J92,"X"))))</f>
        <v/>
      </c>
      <c r="AC92" s="5">
        <f>IF(AB92="X",0,IF(D92="","",D92))</f>
        <v/>
      </c>
      <c r="AD92" s="5">
        <f>IF(AB92="X",IF(D92="","",D92),0)</f>
        <v/>
      </c>
      <c r="AE92" s="6" t="n"/>
      <c r="AF92" s="6">
        <f>IF(E92="","",SUMIFS($AI$5:AI92,$E$5:E92,E92)-AI92)</f>
        <v/>
      </c>
      <c r="AG92" s="6">
        <f>IF(AE92="","",MAX(0,AE92-AF92))</f>
        <v/>
      </c>
      <c r="AH92" s="6">
        <f>IF(S92="","",IF(OR(I92=0,V92="IGEN",W92="IGEN"),0,IF(AND(K92&lt;&gt;"IGEN",L92="IGEN",U92="NEM"),0,S92)))</f>
        <v/>
      </c>
      <c r="AI92" s="6">
        <f>IF(AH92="","",IF(M92="IGEN",MIN(AH92,AG92),AH92))</f>
        <v/>
      </c>
      <c r="AJ92" s="5" t="n"/>
    </row>
    <row r="93">
      <c r="A93" s="5" t="n"/>
      <c r="B93" s="5" t="n"/>
      <c r="C93" s="5" t="n"/>
      <c r="D93" s="5">
        <f>IF(AND(B93&lt;&gt;"",C93&lt;&gt;""),C93-B93+1,"")</f>
        <v/>
      </c>
      <c r="E93" s="5">
        <f>IF(B93&lt;&gt;"",YEAR(B93),"")</f>
        <v/>
      </c>
      <c r="F93" s="6" t="n"/>
      <c r="G93" s="6" t="n"/>
      <c r="H93" s="6" t="n"/>
      <c r="I93" s="5">
        <f>IF(H93="","",IFERROR(INDEX(Szabályok!$B$13:$B$200,MATCH(H93,Szabályok!$A$13:$A$200,0)),""))</f>
        <v/>
      </c>
      <c r="J93" s="5">
        <f>IF(H93="","",IFERROR(INDEX(Szabályok!$C$13:$C$200,MATCH(H93,Szabályok!$A$13:$A$200,0)),""))</f>
        <v/>
      </c>
      <c r="K93" s="5">
        <f>IF(H93="","",IFERROR(INDEX(Szabályok!$D$13:$D$200,MATCH(H93,Szabályok!$A$13:$A$200,0)),""))</f>
        <v/>
      </c>
      <c r="L93" s="5">
        <f>IF(H93="","",IFERROR(INDEX(Szabályok!$E$13:$E$200,MATCH(H93,Szabályok!$A$13:$A$200,0)),""))</f>
        <v/>
      </c>
      <c r="M93" s="5">
        <f>IF(H93="","",IFERROR(INDEX(Szabályok!$F$13:$F$200,MATCH(H93,Szabályok!$A$13:$A$200,0)),""))</f>
        <v/>
      </c>
      <c r="N93" s="5">
        <f>IF(H93="","",IFERROR(INDEX(Szabályok!$G$13:$G$200,MATCH(H93,Szabályok!$A$13:$A$200,0)),""))</f>
        <v/>
      </c>
      <c r="O93" s="5">
        <f>IF(H93="","",IFERROR(INDEX(Szabályok!$H$13:$H$200,MATCH(H93,Szabályok!$A$13:$A$200,0)),""))</f>
        <v/>
      </c>
      <c r="P93" s="5" t="n"/>
      <c r="Q93" s="6" t="n"/>
      <c r="R93" s="6" t="n"/>
      <c r="S93" s="6">
        <f>IF(COUNT(Q93:R93)=0,"",SUM(Q93:R93))</f>
        <v/>
      </c>
      <c r="T93" s="6" t="n"/>
      <c r="U93" s="5">
        <f>IF(T93="","",IF(L93&lt;&gt;"IGEN","IGEN",IF(S93&gt;=T93,"IGEN","NEM")))</f>
        <v/>
      </c>
      <c r="V93" s="5" t="n"/>
      <c r="W93" s="5" t="n"/>
      <c r="X93" s="5" t="n"/>
      <c r="Y93" s="5" t="n"/>
      <c r="Z93" s="5">
        <f>IF(X93="","",IF(COUNTIFS($X$5:$X$304,X93,$I$5:$I$304,"&lt;"&amp;I93)=0,I93,""))</f>
        <v/>
      </c>
      <c r="AA93" s="5">
        <f>IF(X93="","",IF(COUNTIFS($X$5:$X$304,X93,$I$5:$I$304,"&lt;"&amp;I93)&gt;0,"NEM",IF(COUNTIFS($X$5:$X$304,X93,$I$5:$I$304,I93)=1,"IGEN",IF(Y93=1,"IGEN","NEM"))))</f>
        <v/>
      </c>
      <c r="AB93" s="5">
        <f>IF(OR(I93="",J93=""),"",IF(OR(I93=0,V93="IGEN",W93="IGEN"),"X",IF(AND(K93&lt;&gt;"IGEN",L93="IGEN",U93="NEM"),"X",IF(AA93="IGEN",J93,"X"))))</f>
        <v/>
      </c>
      <c r="AC93" s="5">
        <f>IF(AB93="X",0,IF(D93="","",D93))</f>
        <v/>
      </c>
      <c r="AD93" s="5">
        <f>IF(AB93="X",IF(D93="","",D93),0)</f>
        <v/>
      </c>
      <c r="AE93" s="6" t="n"/>
      <c r="AF93" s="6">
        <f>IF(E93="","",SUMIFS($AI$5:AI93,$E$5:E93,E93)-AI93)</f>
        <v/>
      </c>
      <c r="AG93" s="6">
        <f>IF(AE93="","",MAX(0,AE93-AF93))</f>
        <v/>
      </c>
      <c r="AH93" s="6">
        <f>IF(S93="","",IF(OR(I93=0,V93="IGEN",W93="IGEN"),0,IF(AND(K93&lt;&gt;"IGEN",L93="IGEN",U93="NEM"),0,S93)))</f>
        <v/>
      </c>
      <c r="AI93" s="6">
        <f>IF(AH93="","",IF(M93="IGEN",MIN(AH93,AG93),AH93))</f>
        <v/>
      </c>
      <c r="AJ93" s="5" t="n"/>
    </row>
    <row r="94">
      <c r="A94" s="5" t="n"/>
      <c r="B94" s="5" t="n"/>
      <c r="C94" s="5" t="n"/>
      <c r="D94" s="5">
        <f>IF(AND(B94&lt;&gt;"",C94&lt;&gt;""),C94-B94+1,"")</f>
        <v/>
      </c>
      <c r="E94" s="5">
        <f>IF(B94&lt;&gt;"",YEAR(B94),"")</f>
        <v/>
      </c>
      <c r="F94" s="6" t="n"/>
      <c r="G94" s="6" t="n"/>
      <c r="H94" s="6" t="n"/>
      <c r="I94" s="5">
        <f>IF(H94="","",IFERROR(INDEX(Szabályok!$B$13:$B$200,MATCH(H94,Szabályok!$A$13:$A$200,0)),""))</f>
        <v/>
      </c>
      <c r="J94" s="5">
        <f>IF(H94="","",IFERROR(INDEX(Szabályok!$C$13:$C$200,MATCH(H94,Szabályok!$A$13:$A$200,0)),""))</f>
        <v/>
      </c>
      <c r="K94" s="5">
        <f>IF(H94="","",IFERROR(INDEX(Szabályok!$D$13:$D$200,MATCH(H94,Szabályok!$A$13:$A$200,0)),""))</f>
        <v/>
      </c>
      <c r="L94" s="5">
        <f>IF(H94="","",IFERROR(INDEX(Szabályok!$E$13:$E$200,MATCH(H94,Szabályok!$A$13:$A$200,0)),""))</f>
        <v/>
      </c>
      <c r="M94" s="5">
        <f>IF(H94="","",IFERROR(INDEX(Szabályok!$F$13:$F$200,MATCH(H94,Szabályok!$A$13:$A$200,0)),""))</f>
        <v/>
      </c>
      <c r="N94" s="5">
        <f>IF(H94="","",IFERROR(INDEX(Szabályok!$G$13:$G$200,MATCH(H94,Szabályok!$A$13:$A$200,0)),""))</f>
        <v/>
      </c>
      <c r="O94" s="5">
        <f>IF(H94="","",IFERROR(INDEX(Szabályok!$H$13:$H$200,MATCH(H94,Szabályok!$A$13:$A$200,0)),""))</f>
        <v/>
      </c>
      <c r="P94" s="5" t="n"/>
      <c r="Q94" s="6" t="n"/>
      <c r="R94" s="6" t="n"/>
      <c r="S94" s="6">
        <f>IF(COUNT(Q94:R94)=0,"",SUM(Q94:R94))</f>
        <v/>
      </c>
      <c r="T94" s="6" t="n"/>
      <c r="U94" s="5">
        <f>IF(T94="","",IF(L94&lt;&gt;"IGEN","IGEN",IF(S94&gt;=T94,"IGEN","NEM")))</f>
        <v/>
      </c>
      <c r="V94" s="5" t="n"/>
      <c r="W94" s="5" t="n"/>
      <c r="X94" s="5" t="n"/>
      <c r="Y94" s="5" t="n"/>
      <c r="Z94" s="5">
        <f>IF(X94="","",IF(COUNTIFS($X$5:$X$304,X94,$I$5:$I$304,"&lt;"&amp;I94)=0,I94,""))</f>
        <v/>
      </c>
      <c r="AA94" s="5">
        <f>IF(X94="","",IF(COUNTIFS($X$5:$X$304,X94,$I$5:$I$304,"&lt;"&amp;I94)&gt;0,"NEM",IF(COUNTIFS($X$5:$X$304,X94,$I$5:$I$304,I94)=1,"IGEN",IF(Y94=1,"IGEN","NEM"))))</f>
        <v/>
      </c>
      <c r="AB94" s="5">
        <f>IF(OR(I94="",J94=""),"",IF(OR(I94=0,V94="IGEN",W94="IGEN"),"X",IF(AND(K94&lt;&gt;"IGEN",L94="IGEN",U94="NEM"),"X",IF(AA94="IGEN",J94,"X"))))</f>
        <v/>
      </c>
      <c r="AC94" s="5">
        <f>IF(AB94="X",0,IF(D94="","",D94))</f>
        <v/>
      </c>
      <c r="AD94" s="5">
        <f>IF(AB94="X",IF(D94="","",D94),0)</f>
        <v/>
      </c>
      <c r="AE94" s="6" t="n"/>
      <c r="AF94" s="6">
        <f>IF(E94="","",SUMIFS($AI$5:AI94,$E$5:E94,E94)-AI94)</f>
        <v/>
      </c>
      <c r="AG94" s="6">
        <f>IF(AE94="","",MAX(0,AE94-AF94))</f>
        <v/>
      </c>
      <c r="AH94" s="6">
        <f>IF(S94="","",IF(OR(I94=0,V94="IGEN",W94="IGEN"),0,IF(AND(K94&lt;&gt;"IGEN",L94="IGEN",U94="NEM"),0,S94)))</f>
        <v/>
      </c>
      <c r="AI94" s="6">
        <f>IF(AH94="","",IF(M94="IGEN",MIN(AH94,AG94),AH94))</f>
        <v/>
      </c>
      <c r="AJ94" s="5" t="n"/>
    </row>
    <row r="95">
      <c r="A95" s="5" t="n"/>
      <c r="B95" s="5" t="n"/>
      <c r="C95" s="5" t="n"/>
      <c r="D95" s="5">
        <f>IF(AND(B95&lt;&gt;"",C95&lt;&gt;""),C95-B95+1,"")</f>
        <v/>
      </c>
      <c r="E95" s="5">
        <f>IF(B95&lt;&gt;"",YEAR(B95),"")</f>
        <v/>
      </c>
      <c r="F95" s="6" t="n"/>
      <c r="G95" s="6" t="n"/>
      <c r="H95" s="6" t="n"/>
      <c r="I95" s="5">
        <f>IF(H95="","",IFERROR(INDEX(Szabályok!$B$13:$B$200,MATCH(H95,Szabályok!$A$13:$A$200,0)),""))</f>
        <v/>
      </c>
      <c r="J95" s="5">
        <f>IF(H95="","",IFERROR(INDEX(Szabályok!$C$13:$C$200,MATCH(H95,Szabályok!$A$13:$A$200,0)),""))</f>
        <v/>
      </c>
      <c r="K95" s="5">
        <f>IF(H95="","",IFERROR(INDEX(Szabályok!$D$13:$D$200,MATCH(H95,Szabályok!$A$13:$A$200,0)),""))</f>
        <v/>
      </c>
      <c r="L95" s="5">
        <f>IF(H95="","",IFERROR(INDEX(Szabályok!$E$13:$E$200,MATCH(H95,Szabályok!$A$13:$A$200,0)),""))</f>
        <v/>
      </c>
      <c r="M95" s="5">
        <f>IF(H95="","",IFERROR(INDEX(Szabályok!$F$13:$F$200,MATCH(H95,Szabályok!$A$13:$A$200,0)),""))</f>
        <v/>
      </c>
      <c r="N95" s="5">
        <f>IF(H95="","",IFERROR(INDEX(Szabályok!$G$13:$G$200,MATCH(H95,Szabályok!$A$13:$A$200,0)),""))</f>
        <v/>
      </c>
      <c r="O95" s="5">
        <f>IF(H95="","",IFERROR(INDEX(Szabályok!$H$13:$H$200,MATCH(H95,Szabályok!$A$13:$A$200,0)),""))</f>
        <v/>
      </c>
      <c r="P95" s="5" t="n"/>
      <c r="Q95" s="6" t="n"/>
      <c r="R95" s="6" t="n"/>
      <c r="S95" s="6">
        <f>IF(COUNT(Q95:R95)=0,"",SUM(Q95:R95))</f>
        <v/>
      </c>
      <c r="T95" s="6" t="n"/>
      <c r="U95" s="5">
        <f>IF(T95="","",IF(L95&lt;&gt;"IGEN","IGEN",IF(S95&gt;=T95,"IGEN","NEM")))</f>
        <v/>
      </c>
      <c r="V95" s="5" t="n"/>
      <c r="W95" s="5" t="n"/>
      <c r="X95" s="5" t="n"/>
      <c r="Y95" s="5" t="n"/>
      <c r="Z95" s="5">
        <f>IF(X95="","",IF(COUNTIFS($X$5:$X$304,X95,$I$5:$I$304,"&lt;"&amp;I95)=0,I95,""))</f>
        <v/>
      </c>
      <c r="AA95" s="5">
        <f>IF(X95="","",IF(COUNTIFS($X$5:$X$304,X95,$I$5:$I$304,"&lt;"&amp;I95)&gt;0,"NEM",IF(COUNTIFS($X$5:$X$304,X95,$I$5:$I$304,I95)=1,"IGEN",IF(Y95=1,"IGEN","NEM"))))</f>
        <v/>
      </c>
      <c r="AB95" s="5">
        <f>IF(OR(I95="",J95=""),"",IF(OR(I95=0,V95="IGEN",W95="IGEN"),"X",IF(AND(K95&lt;&gt;"IGEN",L95="IGEN",U95="NEM"),"X",IF(AA95="IGEN",J95,"X"))))</f>
        <v/>
      </c>
      <c r="AC95" s="5">
        <f>IF(AB95="X",0,IF(D95="","",D95))</f>
        <v/>
      </c>
      <c r="AD95" s="5">
        <f>IF(AB95="X",IF(D95="","",D95),0)</f>
        <v/>
      </c>
      <c r="AE95" s="6" t="n"/>
      <c r="AF95" s="6">
        <f>IF(E95="","",SUMIFS($AI$5:AI95,$E$5:E95,E95)-AI95)</f>
        <v/>
      </c>
      <c r="AG95" s="6">
        <f>IF(AE95="","",MAX(0,AE95-AF95))</f>
        <v/>
      </c>
      <c r="AH95" s="6">
        <f>IF(S95="","",IF(OR(I95=0,V95="IGEN",W95="IGEN"),0,IF(AND(K95&lt;&gt;"IGEN",L95="IGEN",U95="NEM"),0,S95)))</f>
        <v/>
      </c>
      <c r="AI95" s="6">
        <f>IF(AH95="","",IF(M95="IGEN",MIN(AH95,AG95),AH95))</f>
        <v/>
      </c>
      <c r="AJ95" s="5" t="n"/>
    </row>
    <row r="96">
      <c r="A96" s="5" t="n"/>
      <c r="B96" s="5" t="n"/>
      <c r="C96" s="5" t="n"/>
      <c r="D96" s="5">
        <f>IF(AND(B96&lt;&gt;"",C96&lt;&gt;""),C96-B96+1,"")</f>
        <v/>
      </c>
      <c r="E96" s="5">
        <f>IF(B96&lt;&gt;"",YEAR(B96),"")</f>
        <v/>
      </c>
      <c r="F96" s="6" t="n"/>
      <c r="G96" s="6" t="n"/>
      <c r="H96" s="6" t="n"/>
      <c r="I96" s="5">
        <f>IF(H96="","",IFERROR(INDEX(Szabályok!$B$13:$B$200,MATCH(H96,Szabályok!$A$13:$A$200,0)),""))</f>
        <v/>
      </c>
      <c r="J96" s="5">
        <f>IF(H96="","",IFERROR(INDEX(Szabályok!$C$13:$C$200,MATCH(H96,Szabályok!$A$13:$A$200,0)),""))</f>
        <v/>
      </c>
      <c r="K96" s="5">
        <f>IF(H96="","",IFERROR(INDEX(Szabályok!$D$13:$D$200,MATCH(H96,Szabályok!$A$13:$A$200,0)),""))</f>
        <v/>
      </c>
      <c r="L96" s="5">
        <f>IF(H96="","",IFERROR(INDEX(Szabályok!$E$13:$E$200,MATCH(H96,Szabályok!$A$13:$A$200,0)),""))</f>
        <v/>
      </c>
      <c r="M96" s="5">
        <f>IF(H96="","",IFERROR(INDEX(Szabályok!$F$13:$F$200,MATCH(H96,Szabályok!$A$13:$A$200,0)),""))</f>
        <v/>
      </c>
      <c r="N96" s="5">
        <f>IF(H96="","",IFERROR(INDEX(Szabályok!$G$13:$G$200,MATCH(H96,Szabályok!$A$13:$A$200,0)),""))</f>
        <v/>
      </c>
      <c r="O96" s="5">
        <f>IF(H96="","",IFERROR(INDEX(Szabályok!$H$13:$H$200,MATCH(H96,Szabályok!$A$13:$A$200,0)),""))</f>
        <v/>
      </c>
      <c r="P96" s="5" t="n"/>
      <c r="Q96" s="6" t="n"/>
      <c r="R96" s="6" t="n"/>
      <c r="S96" s="6">
        <f>IF(COUNT(Q96:R96)=0,"",SUM(Q96:R96))</f>
        <v/>
      </c>
      <c r="T96" s="6" t="n"/>
      <c r="U96" s="5">
        <f>IF(T96="","",IF(L96&lt;&gt;"IGEN","IGEN",IF(S96&gt;=T96,"IGEN","NEM")))</f>
        <v/>
      </c>
      <c r="V96" s="5" t="n"/>
      <c r="W96" s="5" t="n"/>
      <c r="X96" s="5" t="n"/>
      <c r="Y96" s="5" t="n"/>
      <c r="Z96" s="5">
        <f>IF(X96="","",IF(COUNTIFS($X$5:$X$304,X96,$I$5:$I$304,"&lt;"&amp;I96)=0,I96,""))</f>
        <v/>
      </c>
      <c r="AA96" s="5">
        <f>IF(X96="","",IF(COUNTIFS($X$5:$X$304,X96,$I$5:$I$304,"&lt;"&amp;I96)&gt;0,"NEM",IF(COUNTIFS($X$5:$X$304,X96,$I$5:$I$304,I96)=1,"IGEN",IF(Y96=1,"IGEN","NEM"))))</f>
        <v/>
      </c>
      <c r="AB96" s="5">
        <f>IF(OR(I96="",J96=""),"",IF(OR(I96=0,V96="IGEN",W96="IGEN"),"X",IF(AND(K96&lt;&gt;"IGEN",L96="IGEN",U96="NEM"),"X",IF(AA96="IGEN",J96,"X"))))</f>
        <v/>
      </c>
      <c r="AC96" s="5">
        <f>IF(AB96="X",0,IF(D96="","",D96))</f>
        <v/>
      </c>
      <c r="AD96" s="5">
        <f>IF(AB96="X",IF(D96="","",D96),0)</f>
        <v/>
      </c>
      <c r="AE96" s="6" t="n"/>
      <c r="AF96" s="6">
        <f>IF(E96="","",SUMIFS($AI$5:AI96,$E$5:E96,E96)-AI96)</f>
        <v/>
      </c>
      <c r="AG96" s="6">
        <f>IF(AE96="","",MAX(0,AE96-AF96))</f>
        <v/>
      </c>
      <c r="AH96" s="6">
        <f>IF(S96="","",IF(OR(I96=0,V96="IGEN",W96="IGEN"),0,IF(AND(K96&lt;&gt;"IGEN",L96="IGEN",U96="NEM"),0,S96)))</f>
        <v/>
      </c>
      <c r="AI96" s="6">
        <f>IF(AH96="","",IF(M96="IGEN",MIN(AH96,AG96),AH96))</f>
        <v/>
      </c>
      <c r="AJ96" s="5" t="n"/>
    </row>
    <row r="97">
      <c r="A97" s="5" t="n"/>
      <c r="B97" s="5" t="n"/>
      <c r="C97" s="5" t="n"/>
      <c r="D97" s="5">
        <f>IF(AND(B97&lt;&gt;"",C97&lt;&gt;""),C97-B97+1,"")</f>
        <v/>
      </c>
      <c r="E97" s="5">
        <f>IF(B97&lt;&gt;"",YEAR(B97),"")</f>
        <v/>
      </c>
      <c r="F97" s="6" t="n"/>
      <c r="G97" s="6" t="n"/>
      <c r="H97" s="6" t="n"/>
      <c r="I97" s="5">
        <f>IF(H97="","",IFERROR(INDEX(Szabályok!$B$13:$B$200,MATCH(H97,Szabályok!$A$13:$A$200,0)),""))</f>
        <v/>
      </c>
      <c r="J97" s="5">
        <f>IF(H97="","",IFERROR(INDEX(Szabályok!$C$13:$C$200,MATCH(H97,Szabályok!$A$13:$A$200,0)),""))</f>
        <v/>
      </c>
      <c r="K97" s="5">
        <f>IF(H97="","",IFERROR(INDEX(Szabályok!$D$13:$D$200,MATCH(H97,Szabályok!$A$13:$A$200,0)),""))</f>
        <v/>
      </c>
      <c r="L97" s="5">
        <f>IF(H97="","",IFERROR(INDEX(Szabályok!$E$13:$E$200,MATCH(H97,Szabályok!$A$13:$A$200,0)),""))</f>
        <v/>
      </c>
      <c r="M97" s="5">
        <f>IF(H97="","",IFERROR(INDEX(Szabályok!$F$13:$F$200,MATCH(H97,Szabályok!$A$13:$A$200,0)),""))</f>
        <v/>
      </c>
      <c r="N97" s="5">
        <f>IF(H97="","",IFERROR(INDEX(Szabályok!$G$13:$G$200,MATCH(H97,Szabályok!$A$13:$A$200,0)),""))</f>
        <v/>
      </c>
      <c r="O97" s="5">
        <f>IF(H97="","",IFERROR(INDEX(Szabályok!$H$13:$H$200,MATCH(H97,Szabályok!$A$13:$A$200,0)),""))</f>
        <v/>
      </c>
      <c r="P97" s="5" t="n"/>
      <c r="Q97" s="6" t="n"/>
      <c r="R97" s="6" t="n"/>
      <c r="S97" s="6">
        <f>IF(COUNT(Q97:R97)=0,"",SUM(Q97:R97))</f>
        <v/>
      </c>
      <c r="T97" s="6" t="n"/>
      <c r="U97" s="5">
        <f>IF(T97="","",IF(L97&lt;&gt;"IGEN","IGEN",IF(S97&gt;=T97,"IGEN","NEM")))</f>
        <v/>
      </c>
      <c r="V97" s="5" t="n"/>
      <c r="W97" s="5" t="n"/>
      <c r="X97" s="5" t="n"/>
      <c r="Y97" s="5" t="n"/>
      <c r="Z97" s="5">
        <f>IF(X97="","",IF(COUNTIFS($X$5:$X$304,X97,$I$5:$I$304,"&lt;"&amp;I97)=0,I97,""))</f>
        <v/>
      </c>
      <c r="AA97" s="5">
        <f>IF(X97="","",IF(COUNTIFS($X$5:$X$304,X97,$I$5:$I$304,"&lt;"&amp;I97)&gt;0,"NEM",IF(COUNTIFS($X$5:$X$304,X97,$I$5:$I$304,I97)=1,"IGEN",IF(Y97=1,"IGEN","NEM"))))</f>
        <v/>
      </c>
      <c r="AB97" s="5">
        <f>IF(OR(I97="",J97=""),"",IF(OR(I97=0,V97="IGEN",W97="IGEN"),"X",IF(AND(K97&lt;&gt;"IGEN",L97="IGEN",U97="NEM"),"X",IF(AA97="IGEN",J97,"X"))))</f>
        <v/>
      </c>
      <c r="AC97" s="5">
        <f>IF(AB97="X",0,IF(D97="","",D97))</f>
        <v/>
      </c>
      <c r="AD97" s="5">
        <f>IF(AB97="X",IF(D97="","",D97),0)</f>
        <v/>
      </c>
      <c r="AE97" s="6" t="n"/>
      <c r="AF97" s="6">
        <f>IF(E97="","",SUMIFS($AI$5:AI97,$E$5:E97,E97)-AI97)</f>
        <v/>
      </c>
      <c r="AG97" s="6">
        <f>IF(AE97="","",MAX(0,AE97-AF97))</f>
        <v/>
      </c>
      <c r="AH97" s="6">
        <f>IF(S97="","",IF(OR(I97=0,V97="IGEN",W97="IGEN"),0,IF(AND(K97&lt;&gt;"IGEN",L97="IGEN",U97="NEM"),0,S97)))</f>
        <v/>
      </c>
      <c r="AI97" s="6">
        <f>IF(AH97="","",IF(M97="IGEN",MIN(AH97,AG97),AH97))</f>
        <v/>
      </c>
      <c r="AJ97" s="5" t="n"/>
    </row>
    <row r="98">
      <c r="A98" s="5" t="n"/>
      <c r="B98" s="5" t="n"/>
      <c r="C98" s="5" t="n"/>
      <c r="D98" s="5">
        <f>IF(AND(B98&lt;&gt;"",C98&lt;&gt;""),C98-B98+1,"")</f>
        <v/>
      </c>
      <c r="E98" s="5">
        <f>IF(B98&lt;&gt;"",YEAR(B98),"")</f>
        <v/>
      </c>
      <c r="F98" s="6" t="n"/>
      <c r="G98" s="6" t="n"/>
      <c r="H98" s="6" t="n"/>
      <c r="I98" s="5">
        <f>IF(H98="","",IFERROR(INDEX(Szabályok!$B$13:$B$200,MATCH(H98,Szabályok!$A$13:$A$200,0)),""))</f>
        <v/>
      </c>
      <c r="J98" s="5">
        <f>IF(H98="","",IFERROR(INDEX(Szabályok!$C$13:$C$200,MATCH(H98,Szabályok!$A$13:$A$200,0)),""))</f>
        <v/>
      </c>
      <c r="K98" s="5">
        <f>IF(H98="","",IFERROR(INDEX(Szabályok!$D$13:$D$200,MATCH(H98,Szabályok!$A$13:$A$200,0)),""))</f>
        <v/>
      </c>
      <c r="L98" s="5">
        <f>IF(H98="","",IFERROR(INDEX(Szabályok!$E$13:$E$200,MATCH(H98,Szabályok!$A$13:$A$200,0)),""))</f>
        <v/>
      </c>
      <c r="M98" s="5">
        <f>IF(H98="","",IFERROR(INDEX(Szabályok!$F$13:$F$200,MATCH(H98,Szabályok!$A$13:$A$200,0)),""))</f>
        <v/>
      </c>
      <c r="N98" s="5">
        <f>IF(H98="","",IFERROR(INDEX(Szabályok!$G$13:$G$200,MATCH(H98,Szabályok!$A$13:$A$200,0)),""))</f>
        <v/>
      </c>
      <c r="O98" s="5">
        <f>IF(H98="","",IFERROR(INDEX(Szabályok!$H$13:$H$200,MATCH(H98,Szabályok!$A$13:$A$200,0)),""))</f>
        <v/>
      </c>
      <c r="P98" s="5" t="n"/>
      <c r="Q98" s="6" t="n"/>
      <c r="R98" s="6" t="n"/>
      <c r="S98" s="6">
        <f>IF(COUNT(Q98:R98)=0,"",SUM(Q98:R98))</f>
        <v/>
      </c>
      <c r="T98" s="6" t="n"/>
      <c r="U98" s="5">
        <f>IF(T98="","",IF(L98&lt;&gt;"IGEN","IGEN",IF(S98&gt;=T98,"IGEN","NEM")))</f>
        <v/>
      </c>
      <c r="V98" s="5" t="n"/>
      <c r="W98" s="5" t="n"/>
      <c r="X98" s="5" t="n"/>
      <c r="Y98" s="5" t="n"/>
      <c r="Z98" s="5">
        <f>IF(X98="","",IF(COUNTIFS($X$5:$X$304,X98,$I$5:$I$304,"&lt;"&amp;I98)=0,I98,""))</f>
        <v/>
      </c>
      <c r="AA98" s="5">
        <f>IF(X98="","",IF(COUNTIFS($X$5:$X$304,X98,$I$5:$I$304,"&lt;"&amp;I98)&gt;0,"NEM",IF(COUNTIFS($X$5:$X$304,X98,$I$5:$I$304,I98)=1,"IGEN",IF(Y98=1,"IGEN","NEM"))))</f>
        <v/>
      </c>
      <c r="AB98" s="5">
        <f>IF(OR(I98="",J98=""),"",IF(OR(I98=0,V98="IGEN",W98="IGEN"),"X",IF(AND(K98&lt;&gt;"IGEN",L98="IGEN",U98="NEM"),"X",IF(AA98="IGEN",J98,"X"))))</f>
        <v/>
      </c>
      <c r="AC98" s="5">
        <f>IF(AB98="X",0,IF(D98="","",D98))</f>
        <v/>
      </c>
      <c r="AD98" s="5">
        <f>IF(AB98="X",IF(D98="","",D98),0)</f>
        <v/>
      </c>
      <c r="AE98" s="6" t="n"/>
      <c r="AF98" s="6">
        <f>IF(E98="","",SUMIFS($AI$5:AI98,$E$5:E98,E98)-AI98)</f>
        <v/>
      </c>
      <c r="AG98" s="6">
        <f>IF(AE98="","",MAX(0,AE98-AF98))</f>
        <v/>
      </c>
      <c r="AH98" s="6">
        <f>IF(S98="","",IF(OR(I98=0,V98="IGEN",W98="IGEN"),0,IF(AND(K98&lt;&gt;"IGEN",L98="IGEN",U98="NEM"),0,S98)))</f>
        <v/>
      </c>
      <c r="AI98" s="6">
        <f>IF(AH98="","",IF(M98="IGEN",MIN(AH98,AG98),AH98))</f>
        <v/>
      </c>
      <c r="AJ98" s="5" t="n"/>
    </row>
    <row r="99">
      <c r="A99" s="5" t="n"/>
      <c r="B99" s="5" t="n"/>
      <c r="C99" s="5" t="n"/>
      <c r="D99" s="5">
        <f>IF(AND(B99&lt;&gt;"",C99&lt;&gt;""),C99-B99+1,"")</f>
        <v/>
      </c>
      <c r="E99" s="5">
        <f>IF(B99&lt;&gt;"",YEAR(B99),"")</f>
        <v/>
      </c>
      <c r="F99" s="6" t="n"/>
      <c r="G99" s="6" t="n"/>
      <c r="H99" s="6" t="n"/>
      <c r="I99" s="5">
        <f>IF(H99="","",IFERROR(INDEX(Szabályok!$B$13:$B$200,MATCH(H99,Szabályok!$A$13:$A$200,0)),""))</f>
        <v/>
      </c>
      <c r="J99" s="5">
        <f>IF(H99="","",IFERROR(INDEX(Szabályok!$C$13:$C$200,MATCH(H99,Szabályok!$A$13:$A$200,0)),""))</f>
        <v/>
      </c>
      <c r="K99" s="5">
        <f>IF(H99="","",IFERROR(INDEX(Szabályok!$D$13:$D$200,MATCH(H99,Szabályok!$A$13:$A$200,0)),""))</f>
        <v/>
      </c>
      <c r="L99" s="5">
        <f>IF(H99="","",IFERROR(INDEX(Szabályok!$E$13:$E$200,MATCH(H99,Szabályok!$A$13:$A$200,0)),""))</f>
        <v/>
      </c>
      <c r="M99" s="5">
        <f>IF(H99="","",IFERROR(INDEX(Szabályok!$F$13:$F$200,MATCH(H99,Szabályok!$A$13:$A$200,0)),""))</f>
        <v/>
      </c>
      <c r="N99" s="5">
        <f>IF(H99="","",IFERROR(INDEX(Szabályok!$G$13:$G$200,MATCH(H99,Szabályok!$A$13:$A$200,0)),""))</f>
        <v/>
      </c>
      <c r="O99" s="5">
        <f>IF(H99="","",IFERROR(INDEX(Szabályok!$H$13:$H$200,MATCH(H99,Szabályok!$A$13:$A$200,0)),""))</f>
        <v/>
      </c>
      <c r="P99" s="5" t="n"/>
      <c r="Q99" s="6" t="n"/>
      <c r="R99" s="6" t="n"/>
      <c r="S99" s="6">
        <f>IF(COUNT(Q99:R99)=0,"",SUM(Q99:R99))</f>
        <v/>
      </c>
      <c r="T99" s="6" t="n"/>
      <c r="U99" s="5">
        <f>IF(T99="","",IF(L99&lt;&gt;"IGEN","IGEN",IF(S99&gt;=T99,"IGEN","NEM")))</f>
        <v/>
      </c>
      <c r="V99" s="5" t="n"/>
      <c r="W99" s="5" t="n"/>
      <c r="X99" s="5" t="n"/>
      <c r="Y99" s="5" t="n"/>
      <c r="Z99" s="5">
        <f>IF(X99="","",IF(COUNTIFS($X$5:$X$304,X99,$I$5:$I$304,"&lt;"&amp;I99)=0,I99,""))</f>
        <v/>
      </c>
      <c r="AA99" s="5">
        <f>IF(X99="","",IF(COUNTIFS($X$5:$X$304,X99,$I$5:$I$304,"&lt;"&amp;I99)&gt;0,"NEM",IF(COUNTIFS($X$5:$X$304,X99,$I$5:$I$304,I99)=1,"IGEN",IF(Y99=1,"IGEN","NEM"))))</f>
        <v/>
      </c>
      <c r="AB99" s="5">
        <f>IF(OR(I99="",J99=""),"",IF(OR(I99=0,V99="IGEN",W99="IGEN"),"X",IF(AND(K99&lt;&gt;"IGEN",L99="IGEN",U99="NEM"),"X",IF(AA99="IGEN",J99,"X"))))</f>
        <v/>
      </c>
      <c r="AC99" s="5">
        <f>IF(AB99="X",0,IF(D99="","",D99))</f>
        <v/>
      </c>
      <c r="AD99" s="5">
        <f>IF(AB99="X",IF(D99="","",D99),0)</f>
        <v/>
      </c>
      <c r="AE99" s="6" t="n"/>
      <c r="AF99" s="6">
        <f>IF(E99="","",SUMIFS($AI$5:AI99,$E$5:E99,E99)-AI99)</f>
        <v/>
      </c>
      <c r="AG99" s="6">
        <f>IF(AE99="","",MAX(0,AE99-AF99))</f>
        <v/>
      </c>
      <c r="AH99" s="6">
        <f>IF(S99="","",IF(OR(I99=0,V99="IGEN",W99="IGEN"),0,IF(AND(K99&lt;&gt;"IGEN",L99="IGEN",U99="NEM"),0,S99)))</f>
        <v/>
      </c>
      <c r="AI99" s="6">
        <f>IF(AH99="","",IF(M99="IGEN",MIN(AH99,AG99),AH99))</f>
        <v/>
      </c>
      <c r="AJ99" s="5" t="n"/>
    </row>
    <row r="100">
      <c r="A100" s="5" t="n"/>
      <c r="B100" s="5" t="n"/>
      <c r="C100" s="5" t="n"/>
      <c r="D100" s="5">
        <f>IF(AND(B100&lt;&gt;"",C100&lt;&gt;""),C100-B100+1,"")</f>
        <v/>
      </c>
      <c r="E100" s="5">
        <f>IF(B100&lt;&gt;"",YEAR(B100),"")</f>
        <v/>
      </c>
      <c r="F100" s="6" t="n"/>
      <c r="G100" s="6" t="n"/>
      <c r="H100" s="6" t="n"/>
      <c r="I100" s="5">
        <f>IF(H100="","",IFERROR(INDEX(Szabályok!$B$13:$B$200,MATCH(H100,Szabályok!$A$13:$A$200,0)),""))</f>
        <v/>
      </c>
      <c r="J100" s="5">
        <f>IF(H100="","",IFERROR(INDEX(Szabályok!$C$13:$C$200,MATCH(H100,Szabályok!$A$13:$A$200,0)),""))</f>
        <v/>
      </c>
      <c r="K100" s="5">
        <f>IF(H100="","",IFERROR(INDEX(Szabályok!$D$13:$D$200,MATCH(H100,Szabályok!$A$13:$A$200,0)),""))</f>
        <v/>
      </c>
      <c r="L100" s="5">
        <f>IF(H100="","",IFERROR(INDEX(Szabályok!$E$13:$E$200,MATCH(H100,Szabályok!$A$13:$A$200,0)),""))</f>
        <v/>
      </c>
      <c r="M100" s="5">
        <f>IF(H100="","",IFERROR(INDEX(Szabályok!$F$13:$F$200,MATCH(H100,Szabályok!$A$13:$A$200,0)),""))</f>
        <v/>
      </c>
      <c r="N100" s="5">
        <f>IF(H100="","",IFERROR(INDEX(Szabályok!$G$13:$G$200,MATCH(H100,Szabályok!$A$13:$A$200,0)),""))</f>
        <v/>
      </c>
      <c r="O100" s="5">
        <f>IF(H100="","",IFERROR(INDEX(Szabályok!$H$13:$H$200,MATCH(H100,Szabályok!$A$13:$A$200,0)),""))</f>
        <v/>
      </c>
      <c r="P100" s="5" t="n"/>
      <c r="Q100" s="6" t="n"/>
      <c r="R100" s="6" t="n"/>
      <c r="S100" s="6">
        <f>IF(COUNT(Q100:R100)=0,"",SUM(Q100:R100))</f>
        <v/>
      </c>
      <c r="T100" s="6" t="n"/>
      <c r="U100" s="5">
        <f>IF(T100="","",IF(L100&lt;&gt;"IGEN","IGEN",IF(S100&gt;=T100,"IGEN","NEM")))</f>
        <v/>
      </c>
      <c r="V100" s="5" t="n"/>
      <c r="W100" s="5" t="n"/>
      <c r="X100" s="5" t="n"/>
      <c r="Y100" s="5" t="n"/>
      <c r="Z100" s="5">
        <f>IF(X100="","",IF(COUNTIFS($X$5:$X$304,X100,$I$5:$I$304,"&lt;"&amp;I100)=0,I100,""))</f>
        <v/>
      </c>
      <c r="AA100" s="5">
        <f>IF(X100="","",IF(COUNTIFS($X$5:$X$304,X100,$I$5:$I$304,"&lt;"&amp;I100)&gt;0,"NEM",IF(COUNTIFS($X$5:$X$304,X100,$I$5:$I$304,I100)=1,"IGEN",IF(Y100=1,"IGEN","NEM"))))</f>
        <v/>
      </c>
      <c r="AB100" s="5">
        <f>IF(OR(I100="",J100=""),"",IF(OR(I100=0,V100="IGEN",W100="IGEN"),"X",IF(AND(K100&lt;&gt;"IGEN",L100="IGEN",U100="NEM"),"X",IF(AA100="IGEN",J100,"X"))))</f>
        <v/>
      </c>
      <c r="AC100" s="5">
        <f>IF(AB100="X",0,IF(D100="","",D100))</f>
        <v/>
      </c>
      <c r="AD100" s="5">
        <f>IF(AB100="X",IF(D100="","",D100),0)</f>
        <v/>
      </c>
      <c r="AE100" s="6" t="n"/>
      <c r="AF100" s="6">
        <f>IF(E100="","",SUMIFS($AI$5:AI100,$E$5:E100,E100)-AI100)</f>
        <v/>
      </c>
      <c r="AG100" s="6">
        <f>IF(AE100="","",MAX(0,AE100-AF100))</f>
        <v/>
      </c>
      <c r="AH100" s="6">
        <f>IF(S100="","",IF(OR(I100=0,V100="IGEN",W100="IGEN"),0,IF(AND(K100&lt;&gt;"IGEN",L100="IGEN",U100="NEM"),0,S100)))</f>
        <v/>
      </c>
      <c r="AI100" s="6">
        <f>IF(AH100="","",IF(M100="IGEN",MIN(AH100,AG100),AH100))</f>
        <v/>
      </c>
      <c r="AJ100" s="5" t="n"/>
    </row>
    <row r="101">
      <c r="A101" s="5" t="n"/>
      <c r="B101" s="5" t="n"/>
      <c r="C101" s="5" t="n"/>
      <c r="D101" s="5">
        <f>IF(AND(B101&lt;&gt;"",C101&lt;&gt;""),C101-B101+1,"")</f>
        <v/>
      </c>
      <c r="E101" s="5">
        <f>IF(B101&lt;&gt;"",YEAR(B101),"")</f>
        <v/>
      </c>
      <c r="F101" s="6" t="n"/>
      <c r="G101" s="6" t="n"/>
      <c r="H101" s="6" t="n"/>
      <c r="I101" s="5">
        <f>IF(H101="","",IFERROR(INDEX(Szabályok!$B$13:$B$200,MATCH(H101,Szabályok!$A$13:$A$200,0)),""))</f>
        <v/>
      </c>
      <c r="J101" s="5">
        <f>IF(H101="","",IFERROR(INDEX(Szabályok!$C$13:$C$200,MATCH(H101,Szabályok!$A$13:$A$200,0)),""))</f>
        <v/>
      </c>
      <c r="K101" s="5">
        <f>IF(H101="","",IFERROR(INDEX(Szabályok!$D$13:$D$200,MATCH(H101,Szabályok!$A$13:$A$200,0)),""))</f>
        <v/>
      </c>
      <c r="L101" s="5">
        <f>IF(H101="","",IFERROR(INDEX(Szabályok!$E$13:$E$200,MATCH(H101,Szabályok!$A$13:$A$200,0)),""))</f>
        <v/>
      </c>
      <c r="M101" s="5">
        <f>IF(H101="","",IFERROR(INDEX(Szabályok!$F$13:$F$200,MATCH(H101,Szabályok!$A$13:$A$200,0)),""))</f>
        <v/>
      </c>
      <c r="N101" s="5">
        <f>IF(H101="","",IFERROR(INDEX(Szabályok!$G$13:$G$200,MATCH(H101,Szabályok!$A$13:$A$200,0)),""))</f>
        <v/>
      </c>
      <c r="O101" s="5">
        <f>IF(H101="","",IFERROR(INDEX(Szabályok!$H$13:$H$200,MATCH(H101,Szabályok!$A$13:$A$200,0)),""))</f>
        <v/>
      </c>
      <c r="P101" s="5" t="n"/>
      <c r="Q101" s="6" t="n"/>
      <c r="R101" s="6" t="n"/>
      <c r="S101" s="6">
        <f>IF(COUNT(Q101:R101)=0,"",SUM(Q101:R101))</f>
        <v/>
      </c>
      <c r="T101" s="6" t="n"/>
      <c r="U101" s="5">
        <f>IF(T101="","",IF(L101&lt;&gt;"IGEN","IGEN",IF(S101&gt;=T101,"IGEN","NEM")))</f>
        <v/>
      </c>
      <c r="V101" s="5" t="n"/>
      <c r="W101" s="5" t="n"/>
      <c r="X101" s="5" t="n"/>
      <c r="Y101" s="5" t="n"/>
      <c r="Z101" s="5">
        <f>IF(X101="","",IF(COUNTIFS($X$5:$X$304,X101,$I$5:$I$304,"&lt;"&amp;I101)=0,I101,""))</f>
        <v/>
      </c>
      <c r="AA101" s="5">
        <f>IF(X101="","",IF(COUNTIFS($X$5:$X$304,X101,$I$5:$I$304,"&lt;"&amp;I101)&gt;0,"NEM",IF(COUNTIFS($X$5:$X$304,X101,$I$5:$I$304,I101)=1,"IGEN",IF(Y101=1,"IGEN","NEM"))))</f>
        <v/>
      </c>
      <c r="AB101" s="5">
        <f>IF(OR(I101="",J101=""),"",IF(OR(I101=0,V101="IGEN",W101="IGEN"),"X",IF(AND(K101&lt;&gt;"IGEN",L101="IGEN",U101="NEM"),"X",IF(AA101="IGEN",J101,"X"))))</f>
        <v/>
      </c>
      <c r="AC101" s="5">
        <f>IF(AB101="X",0,IF(D101="","",D101))</f>
        <v/>
      </c>
      <c r="AD101" s="5">
        <f>IF(AB101="X",IF(D101="","",D101),0)</f>
        <v/>
      </c>
      <c r="AE101" s="6" t="n"/>
      <c r="AF101" s="6">
        <f>IF(E101="","",SUMIFS($AI$5:AI101,$E$5:E101,E101)-AI101)</f>
        <v/>
      </c>
      <c r="AG101" s="6">
        <f>IF(AE101="","",MAX(0,AE101-AF101))</f>
        <v/>
      </c>
      <c r="AH101" s="6">
        <f>IF(S101="","",IF(OR(I101=0,V101="IGEN",W101="IGEN"),0,IF(AND(K101&lt;&gt;"IGEN",L101="IGEN",U101="NEM"),0,S101)))</f>
        <v/>
      </c>
      <c r="AI101" s="6">
        <f>IF(AH101="","",IF(M101="IGEN",MIN(AH101,AG101),AH101))</f>
        <v/>
      </c>
      <c r="AJ101" s="5" t="n"/>
    </row>
    <row r="102">
      <c r="A102" s="5" t="n"/>
      <c r="B102" s="5" t="n"/>
      <c r="C102" s="5" t="n"/>
      <c r="D102" s="5">
        <f>IF(AND(B102&lt;&gt;"",C102&lt;&gt;""),C102-B102+1,"")</f>
        <v/>
      </c>
      <c r="E102" s="5">
        <f>IF(B102&lt;&gt;"",YEAR(B102),"")</f>
        <v/>
      </c>
      <c r="F102" s="6" t="n"/>
      <c r="G102" s="6" t="n"/>
      <c r="H102" s="6" t="n"/>
      <c r="I102" s="5">
        <f>IF(H102="","",IFERROR(INDEX(Szabályok!$B$13:$B$200,MATCH(H102,Szabályok!$A$13:$A$200,0)),""))</f>
        <v/>
      </c>
      <c r="J102" s="5">
        <f>IF(H102="","",IFERROR(INDEX(Szabályok!$C$13:$C$200,MATCH(H102,Szabályok!$A$13:$A$200,0)),""))</f>
        <v/>
      </c>
      <c r="K102" s="5">
        <f>IF(H102="","",IFERROR(INDEX(Szabályok!$D$13:$D$200,MATCH(H102,Szabályok!$A$13:$A$200,0)),""))</f>
        <v/>
      </c>
      <c r="L102" s="5">
        <f>IF(H102="","",IFERROR(INDEX(Szabályok!$E$13:$E$200,MATCH(H102,Szabályok!$A$13:$A$200,0)),""))</f>
        <v/>
      </c>
      <c r="M102" s="5">
        <f>IF(H102="","",IFERROR(INDEX(Szabályok!$F$13:$F$200,MATCH(H102,Szabályok!$A$13:$A$200,0)),""))</f>
        <v/>
      </c>
      <c r="N102" s="5">
        <f>IF(H102="","",IFERROR(INDEX(Szabályok!$G$13:$G$200,MATCH(H102,Szabályok!$A$13:$A$200,0)),""))</f>
        <v/>
      </c>
      <c r="O102" s="5">
        <f>IF(H102="","",IFERROR(INDEX(Szabályok!$H$13:$H$200,MATCH(H102,Szabályok!$A$13:$A$200,0)),""))</f>
        <v/>
      </c>
      <c r="P102" s="5" t="n"/>
      <c r="Q102" s="6" t="n"/>
      <c r="R102" s="6" t="n"/>
      <c r="S102" s="6">
        <f>IF(COUNT(Q102:R102)=0,"",SUM(Q102:R102))</f>
        <v/>
      </c>
      <c r="T102" s="6" t="n"/>
      <c r="U102" s="5">
        <f>IF(T102="","",IF(L102&lt;&gt;"IGEN","IGEN",IF(S102&gt;=T102,"IGEN","NEM")))</f>
        <v/>
      </c>
      <c r="V102" s="5" t="n"/>
      <c r="W102" s="5" t="n"/>
      <c r="X102" s="5" t="n"/>
      <c r="Y102" s="5" t="n"/>
      <c r="Z102" s="5">
        <f>IF(X102="","",IF(COUNTIFS($X$5:$X$304,X102,$I$5:$I$304,"&lt;"&amp;I102)=0,I102,""))</f>
        <v/>
      </c>
      <c r="AA102" s="5">
        <f>IF(X102="","",IF(COUNTIFS($X$5:$X$304,X102,$I$5:$I$304,"&lt;"&amp;I102)&gt;0,"NEM",IF(COUNTIFS($X$5:$X$304,X102,$I$5:$I$304,I102)=1,"IGEN",IF(Y102=1,"IGEN","NEM"))))</f>
        <v/>
      </c>
      <c r="AB102" s="5">
        <f>IF(OR(I102="",J102=""),"",IF(OR(I102=0,V102="IGEN",W102="IGEN"),"X",IF(AND(K102&lt;&gt;"IGEN",L102="IGEN",U102="NEM"),"X",IF(AA102="IGEN",J102,"X"))))</f>
        <v/>
      </c>
      <c r="AC102" s="5">
        <f>IF(AB102="X",0,IF(D102="","",D102))</f>
        <v/>
      </c>
      <c r="AD102" s="5">
        <f>IF(AB102="X",IF(D102="","",D102),0)</f>
        <v/>
      </c>
      <c r="AE102" s="6" t="n"/>
      <c r="AF102" s="6">
        <f>IF(E102="","",SUMIFS($AI$5:AI102,$E$5:E102,E102)-AI102)</f>
        <v/>
      </c>
      <c r="AG102" s="6">
        <f>IF(AE102="","",MAX(0,AE102-AF102))</f>
        <v/>
      </c>
      <c r="AH102" s="6">
        <f>IF(S102="","",IF(OR(I102=0,V102="IGEN",W102="IGEN"),0,IF(AND(K102&lt;&gt;"IGEN",L102="IGEN",U102="NEM"),0,S102)))</f>
        <v/>
      </c>
      <c r="AI102" s="6">
        <f>IF(AH102="","",IF(M102="IGEN",MIN(AH102,AG102),AH102))</f>
        <v/>
      </c>
      <c r="AJ102" s="5" t="n"/>
    </row>
    <row r="103">
      <c r="A103" s="5" t="n"/>
      <c r="B103" s="5" t="n"/>
      <c r="C103" s="5" t="n"/>
      <c r="D103" s="5">
        <f>IF(AND(B103&lt;&gt;"",C103&lt;&gt;""),C103-B103+1,"")</f>
        <v/>
      </c>
      <c r="E103" s="5">
        <f>IF(B103&lt;&gt;"",YEAR(B103),"")</f>
        <v/>
      </c>
      <c r="F103" s="6" t="n"/>
      <c r="G103" s="6" t="n"/>
      <c r="H103" s="6" t="n"/>
      <c r="I103" s="5">
        <f>IF(H103="","",IFERROR(INDEX(Szabályok!$B$13:$B$200,MATCH(H103,Szabályok!$A$13:$A$200,0)),""))</f>
        <v/>
      </c>
      <c r="J103" s="5">
        <f>IF(H103="","",IFERROR(INDEX(Szabályok!$C$13:$C$200,MATCH(H103,Szabályok!$A$13:$A$200,0)),""))</f>
        <v/>
      </c>
      <c r="K103" s="5">
        <f>IF(H103="","",IFERROR(INDEX(Szabályok!$D$13:$D$200,MATCH(H103,Szabályok!$A$13:$A$200,0)),""))</f>
        <v/>
      </c>
      <c r="L103" s="5">
        <f>IF(H103="","",IFERROR(INDEX(Szabályok!$E$13:$E$200,MATCH(H103,Szabályok!$A$13:$A$200,0)),""))</f>
        <v/>
      </c>
      <c r="M103" s="5">
        <f>IF(H103="","",IFERROR(INDEX(Szabályok!$F$13:$F$200,MATCH(H103,Szabályok!$A$13:$A$200,0)),""))</f>
        <v/>
      </c>
      <c r="N103" s="5">
        <f>IF(H103="","",IFERROR(INDEX(Szabályok!$G$13:$G$200,MATCH(H103,Szabályok!$A$13:$A$200,0)),""))</f>
        <v/>
      </c>
      <c r="O103" s="5">
        <f>IF(H103="","",IFERROR(INDEX(Szabályok!$H$13:$H$200,MATCH(H103,Szabályok!$A$13:$A$200,0)),""))</f>
        <v/>
      </c>
      <c r="P103" s="5" t="n"/>
      <c r="Q103" s="6" t="n"/>
      <c r="R103" s="6" t="n"/>
      <c r="S103" s="6">
        <f>IF(COUNT(Q103:R103)=0,"",SUM(Q103:R103))</f>
        <v/>
      </c>
      <c r="T103" s="6" t="n"/>
      <c r="U103" s="5">
        <f>IF(T103="","",IF(L103&lt;&gt;"IGEN","IGEN",IF(S103&gt;=T103,"IGEN","NEM")))</f>
        <v/>
      </c>
      <c r="V103" s="5" t="n"/>
      <c r="W103" s="5" t="n"/>
      <c r="X103" s="5" t="n"/>
      <c r="Y103" s="5" t="n"/>
      <c r="Z103" s="5">
        <f>IF(X103="","",IF(COUNTIFS($X$5:$X$304,X103,$I$5:$I$304,"&lt;"&amp;I103)=0,I103,""))</f>
        <v/>
      </c>
      <c r="AA103" s="5">
        <f>IF(X103="","",IF(COUNTIFS($X$5:$X$304,X103,$I$5:$I$304,"&lt;"&amp;I103)&gt;0,"NEM",IF(COUNTIFS($X$5:$X$304,X103,$I$5:$I$304,I103)=1,"IGEN",IF(Y103=1,"IGEN","NEM"))))</f>
        <v/>
      </c>
      <c r="AB103" s="5">
        <f>IF(OR(I103="",J103=""),"",IF(OR(I103=0,V103="IGEN",W103="IGEN"),"X",IF(AND(K103&lt;&gt;"IGEN",L103="IGEN",U103="NEM"),"X",IF(AA103="IGEN",J103,"X"))))</f>
        <v/>
      </c>
      <c r="AC103" s="5">
        <f>IF(AB103="X",0,IF(D103="","",D103))</f>
        <v/>
      </c>
      <c r="AD103" s="5">
        <f>IF(AB103="X",IF(D103="","",D103),0)</f>
        <v/>
      </c>
      <c r="AE103" s="6" t="n"/>
      <c r="AF103" s="6">
        <f>IF(E103="","",SUMIFS($AI$5:AI103,$E$5:E103,E103)-AI103)</f>
        <v/>
      </c>
      <c r="AG103" s="6">
        <f>IF(AE103="","",MAX(0,AE103-AF103))</f>
        <v/>
      </c>
      <c r="AH103" s="6">
        <f>IF(S103="","",IF(OR(I103=0,V103="IGEN",W103="IGEN"),0,IF(AND(K103&lt;&gt;"IGEN",L103="IGEN",U103="NEM"),0,S103)))</f>
        <v/>
      </c>
      <c r="AI103" s="6">
        <f>IF(AH103="","",IF(M103="IGEN",MIN(AH103,AG103),AH103))</f>
        <v/>
      </c>
      <c r="AJ103" s="5" t="n"/>
    </row>
    <row r="104">
      <c r="A104" s="5" t="n"/>
      <c r="B104" s="5" t="n"/>
      <c r="C104" s="5" t="n"/>
      <c r="D104" s="5">
        <f>IF(AND(B104&lt;&gt;"",C104&lt;&gt;""),C104-B104+1,"")</f>
        <v/>
      </c>
      <c r="E104" s="5">
        <f>IF(B104&lt;&gt;"",YEAR(B104),"")</f>
        <v/>
      </c>
      <c r="F104" s="6" t="n"/>
      <c r="G104" s="6" t="n"/>
      <c r="H104" s="6" t="n"/>
      <c r="I104" s="5">
        <f>IF(H104="","",IFERROR(INDEX(Szabályok!$B$13:$B$200,MATCH(H104,Szabályok!$A$13:$A$200,0)),""))</f>
        <v/>
      </c>
      <c r="J104" s="5">
        <f>IF(H104="","",IFERROR(INDEX(Szabályok!$C$13:$C$200,MATCH(H104,Szabályok!$A$13:$A$200,0)),""))</f>
        <v/>
      </c>
      <c r="K104" s="5">
        <f>IF(H104="","",IFERROR(INDEX(Szabályok!$D$13:$D$200,MATCH(H104,Szabályok!$A$13:$A$200,0)),""))</f>
        <v/>
      </c>
      <c r="L104" s="5">
        <f>IF(H104="","",IFERROR(INDEX(Szabályok!$E$13:$E$200,MATCH(H104,Szabályok!$A$13:$A$200,0)),""))</f>
        <v/>
      </c>
      <c r="M104" s="5">
        <f>IF(H104="","",IFERROR(INDEX(Szabályok!$F$13:$F$200,MATCH(H104,Szabályok!$A$13:$A$200,0)),""))</f>
        <v/>
      </c>
      <c r="N104" s="5">
        <f>IF(H104="","",IFERROR(INDEX(Szabályok!$G$13:$G$200,MATCH(H104,Szabályok!$A$13:$A$200,0)),""))</f>
        <v/>
      </c>
      <c r="O104" s="5">
        <f>IF(H104="","",IFERROR(INDEX(Szabályok!$H$13:$H$200,MATCH(H104,Szabályok!$A$13:$A$200,0)),""))</f>
        <v/>
      </c>
      <c r="P104" s="5" t="n"/>
      <c r="Q104" s="6" t="n"/>
      <c r="R104" s="6" t="n"/>
      <c r="S104" s="6">
        <f>IF(COUNT(Q104:R104)=0,"",SUM(Q104:R104))</f>
        <v/>
      </c>
      <c r="T104" s="6" t="n"/>
      <c r="U104" s="5">
        <f>IF(T104="","",IF(L104&lt;&gt;"IGEN","IGEN",IF(S104&gt;=T104,"IGEN","NEM")))</f>
        <v/>
      </c>
      <c r="V104" s="5" t="n"/>
      <c r="W104" s="5" t="n"/>
      <c r="X104" s="5" t="n"/>
      <c r="Y104" s="5" t="n"/>
      <c r="Z104" s="5">
        <f>IF(X104="","",IF(COUNTIFS($X$5:$X$304,X104,$I$5:$I$304,"&lt;"&amp;I104)=0,I104,""))</f>
        <v/>
      </c>
      <c r="AA104" s="5">
        <f>IF(X104="","",IF(COUNTIFS($X$5:$X$304,X104,$I$5:$I$304,"&lt;"&amp;I104)&gt;0,"NEM",IF(COUNTIFS($X$5:$X$304,X104,$I$5:$I$304,I104)=1,"IGEN",IF(Y104=1,"IGEN","NEM"))))</f>
        <v/>
      </c>
      <c r="AB104" s="5">
        <f>IF(OR(I104="",J104=""),"",IF(OR(I104=0,V104="IGEN",W104="IGEN"),"X",IF(AND(K104&lt;&gt;"IGEN",L104="IGEN",U104="NEM"),"X",IF(AA104="IGEN",J104,"X"))))</f>
        <v/>
      </c>
      <c r="AC104" s="5">
        <f>IF(AB104="X",0,IF(D104="","",D104))</f>
        <v/>
      </c>
      <c r="AD104" s="5">
        <f>IF(AB104="X",IF(D104="","",D104),0)</f>
        <v/>
      </c>
      <c r="AE104" s="6" t="n"/>
      <c r="AF104" s="6">
        <f>IF(E104="","",SUMIFS($AI$5:AI104,$E$5:E104,E104)-AI104)</f>
        <v/>
      </c>
      <c r="AG104" s="6">
        <f>IF(AE104="","",MAX(0,AE104-AF104))</f>
        <v/>
      </c>
      <c r="AH104" s="6">
        <f>IF(S104="","",IF(OR(I104=0,V104="IGEN",W104="IGEN"),0,IF(AND(K104&lt;&gt;"IGEN",L104="IGEN",U104="NEM"),0,S104)))</f>
        <v/>
      </c>
      <c r="AI104" s="6">
        <f>IF(AH104="","",IF(M104="IGEN",MIN(AH104,AG104),AH104))</f>
        <v/>
      </c>
      <c r="AJ104" s="5" t="n"/>
    </row>
    <row r="105">
      <c r="A105" s="5" t="n"/>
      <c r="B105" s="5" t="n"/>
      <c r="C105" s="5" t="n"/>
      <c r="D105" s="5">
        <f>IF(AND(B105&lt;&gt;"",C105&lt;&gt;""),C105-B105+1,"")</f>
        <v/>
      </c>
      <c r="E105" s="5">
        <f>IF(B105&lt;&gt;"",YEAR(B105),"")</f>
        <v/>
      </c>
      <c r="F105" s="6" t="n"/>
      <c r="G105" s="6" t="n"/>
      <c r="H105" s="6" t="n"/>
      <c r="I105" s="5">
        <f>IF(H105="","",IFERROR(INDEX(Szabályok!$B$13:$B$200,MATCH(H105,Szabályok!$A$13:$A$200,0)),""))</f>
        <v/>
      </c>
      <c r="J105" s="5">
        <f>IF(H105="","",IFERROR(INDEX(Szabályok!$C$13:$C$200,MATCH(H105,Szabályok!$A$13:$A$200,0)),""))</f>
        <v/>
      </c>
      <c r="K105" s="5">
        <f>IF(H105="","",IFERROR(INDEX(Szabályok!$D$13:$D$200,MATCH(H105,Szabályok!$A$13:$A$200,0)),""))</f>
        <v/>
      </c>
      <c r="L105" s="5">
        <f>IF(H105="","",IFERROR(INDEX(Szabályok!$E$13:$E$200,MATCH(H105,Szabályok!$A$13:$A$200,0)),""))</f>
        <v/>
      </c>
      <c r="M105" s="5">
        <f>IF(H105="","",IFERROR(INDEX(Szabályok!$F$13:$F$200,MATCH(H105,Szabályok!$A$13:$A$200,0)),""))</f>
        <v/>
      </c>
      <c r="N105" s="5">
        <f>IF(H105="","",IFERROR(INDEX(Szabályok!$G$13:$G$200,MATCH(H105,Szabályok!$A$13:$A$200,0)),""))</f>
        <v/>
      </c>
      <c r="O105" s="5">
        <f>IF(H105="","",IFERROR(INDEX(Szabályok!$H$13:$H$200,MATCH(H105,Szabályok!$A$13:$A$200,0)),""))</f>
        <v/>
      </c>
      <c r="P105" s="5" t="n"/>
      <c r="Q105" s="6" t="n"/>
      <c r="R105" s="6" t="n"/>
      <c r="S105" s="6">
        <f>IF(COUNT(Q105:R105)=0,"",SUM(Q105:R105))</f>
        <v/>
      </c>
      <c r="T105" s="6" t="n"/>
      <c r="U105" s="5">
        <f>IF(T105="","",IF(L105&lt;&gt;"IGEN","IGEN",IF(S105&gt;=T105,"IGEN","NEM")))</f>
        <v/>
      </c>
      <c r="V105" s="5" t="n"/>
      <c r="W105" s="5" t="n"/>
      <c r="X105" s="5" t="n"/>
      <c r="Y105" s="5" t="n"/>
      <c r="Z105" s="5">
        <f>IF(X105="","",IF(COUNTIFS($X$5:$X$304,X105,$I$5:$I$304,"&lt;"&amp;I105)=0,I105,""))</f>
        <v/>
      </c>
      <c r="AA105" s="5">
        <f>IF(X105="","",IF(COUNTIFS($X$5:$X$304,X105,$I$5:$I$304,"&lt;"&amp;I105)&gt;0,"NEM",IF(COUNTIFS($X$5:$X$304,X105,$I$5:$I$304,I105)=1,"IGEN",IF(Y105=1,"IGEN","NEM"))))</f>
        <v/>
      </c>
      <c r="AB105" s="5">
        <f>IF(OR(I105="",J105=""),"",IF(OR(I105=0,V105="IGEN",W105="IGEN"),"X",IF(AND(K105&lt;&gt;"IGEN",L105="IGEN",U105="NEM"),"X",IF(AA105="IGEN",J105,"X"))))</f>
        <v/>
      </c>
      <c r="AC105" s="5">
        <f>IF(AB105="X",0,IF(D105="","",D105))</f>
        <v/>
      </c>
      <c r="AD105" s="5">
        <f>IF(AB105="X",IF(D105="","",D105),0)</f>
        <v/>
      </c>
      <c r="AE105" s="6" t="n"/>
      <c r="AF105" s="6">
        <f>IF(E105="","",SUMIFS($AI$5:AI105,$E$5:E105,E105)-AI105)</f>
        <v/>
      </c>
      <c r="AG105" s="6">
        <f>IF(AE105="","",MAX(0,AE105-AF105))</f>
        <v/>
      </c>
      <c r="AH105" s="6">
        <f>IF(S105="","",IF(OR(I105=0,V105="IGEN",W105="IGEN"),0,IF(AND(K105&lt;&gt;"IGEN",L105="IGEN",U105="NEM"),0,S105)))</f>
        <v/>
      </c>
      <c r="AI105" s="6">
        <f>IF(AH105="","",IF(M105="IGEN",MIN(AH105,AG105),AH105))</f>
        <v/>
      </c>
      <c r="AJ105" s="5" t="n"/>
    </row>
    <row r="106">
      <c r="A106" s="5" t="n"/>
      <c r="B106" s="5" t="n"/>
      <c r="C106" s="5" t="n"/>
      <c r="D106" s="5">
        <f>IF(AND(B106&lt;&gt;"",C106&lt;&gt;""),C106-B106+1,"")</f>
        <v/>
      </c>
      <c r="E106" s="5">
        <f>IF(B106&lt;&gt;"",YEAR(B106),"")</f>
        <v/>
      </c>
      <c r="F106" s="6" t="n"/>
      <c r="G106" s="6" t="n"/>
      <c r="H106" s="6" t="n"/>
      <c r="I106" s="5">
        <f>IF(H106="","",IFERROR(INDEX(Szabályok!$B$13:$B$200,MATCH(H106,Szabályok!$A$13:$A$200,0)),""))</f>
        <v/>
      </c>
      <c r="J106" s="5">
        <f>IF(H106="","",IFERROR(INDEX(Szabályok!$C$13:$C$200,MATCH(H106,Szabályok!$A$13:$A$200,0)),""))</f>
        <v/>
      </c>
      <c r="K106" s="5">
        <f>IF(H106="","",IFERROR(INDEX(Szabályok!$D$13:$D$200,MATCH(H106,Szabályok!$A$13:$A$200,0)),""))</f>
        <v/>
      </c>
      <c r="L106" s="5">
        <f>IF(H106="","",IFERROR(INDEX(Szabályok!$E$13:$E$200,MATCH(H106,Szabályok!$A$13:$A$200,0)),""))</f>
        <v/>
      </c>
      <c r="M106" s="5">
        <f>IF(H106="","",IFERROR(INDEX(Szabályok!$F$13:$F$200,MATCH(H106,Szabályok!$A$13:$A$200,0)),""))</f>
        <v/>
      </c>
      <c r="N106" s="5">
        <f>IF(H106="","",IFERROR(INDEX(Szabályok!$G$13:$G$200,MATCH(H106,Szabályok!$A$13:$A$200,0)),""))</f>
        <v/>
      </c>
      <c r="O106" s="5">
        <f>IF(H106="","",IFERROR(INDEX(Szabályok!$H$13:$H$200,MATCH(H106,Szabályok!$A$13:$A$200,0)),""))</f>
        <v/>
      </c>
      <c r="P106" s="5" t="n"/>
      <c r="Q106" s="6" t="n"/>
      <c r="R106" s="6" t="n"/>
      <c r="S106" s="6">
        <f>IF(COUNT(Q106:R106)=0,"",SUM(Q106:R106))</f>
        <v/>
      </c>
      <c r="T106" s="6" t="n"/>
      <c r="U106" s="5">
        <f>IF(T106="","",IF(L106&lt;&gt;"IGEN","IGEN",IF(S106&gt;=T106,"IGEN","NEM")))</f>
        <v/>
      </c>
      <c r="V106" s="5" t="n"/>
      <c r="W106" s="5" t="n"/>
      <c r="X106" s="5" t="n"/>
      <c r="Y106" s="5" t="n"/>
      <c r="Z106" s="5">
        <f>IF(X106="","",IF(COUNTIFS($X$5:$X$304,X106,$I$5:$I$304,"&lt;"&amp;I106)=0,I106,""))</f>
        <v/>
      </c>
      <c r="AA106" s="5">
        <f>IF(X106="","",IF(COUNTIFS($X$5:$X$304,X106,$I$5:$I$304,"&lt;"&amp;I106)&gt;0,"NEM",IF(COUNTIFS($X$5:$X$304,X106,$I$5:$I$304,I106)=1,"IGEN",IF(Y106=1,"IGEN","NEM"))))</f>
        <v/>
      </c>
      <c r="AB106" s="5">
        <f>IF(OR(I106="",J106=""),"",IF(OR(I106=0,V106="IGEN",W106="IGEN"),"X",IF(AND(K106&lt;&gt;"IGEN",L106="IGEN",U106="NEM"),"X",IF(AA106="IGEN",J106,"X"))))</f>
        <v/>
      </c>
      <c r="AC106" s="5">
        <f>IF(AB106="X",0,IF(D106="","",D106))</f>
        <v/>
      </c>
      <c r="AD106" s="5">
        <f>IF(AB106="X",IF(D106="","",D106),0)</f>
        <v/>
      </c>
      <c r="AE106" s="6" t="n"/>
      <c r="AF106" s="6">
        <f>IF(E106="","",SUMIFS($AI$5:AI106,$E$5:E106,E106)-AI106)</f>
        <v/>
      </c>
      <c r="AG106" s="6">
        <f>IF(AE106="","",MAX(0,AE106-AF106))</f>
        <v/>
      </c>
      <c r="AH106" s="6">
        <f>IF(S106="","",IF(OR(I106=0,V106="IGEN",W106="IGEN"),0,IF(AND(K106&lt;&gt;"IGEN",L106="IGEN",U106="NEM"),0,S106)))</f>
        <v/>
      </c>
      <c r="AI106" s="6">
        <f>IF(AH106="","",IF(M106="IGEN",MIN(AH106,AG106),AH106))</f>
        <v/>
      </c>
      <c r="AJ106" s="5" t="n"/>
    </row>
    <row r="107">
      <c r="A107" s="5" t="n"/>
      <c r="B107" s="5" t="n"/>
      <c r="C107" s="5" t="n"/>
      <c r="D107" s="5">
        <f>IF(AND(B107&lt;&gt;"",C107&lt;&gt;""),C107-B107+1,"")</f>
        <v/>
      </c>
      <c r="E107" s="5">
        <f>IF(B107&lt;&gt;"",YEAR(B107),"")</f>
        <v/>
      </c>
      <c r="F107" s="6" t="n"/>
      <c r="G107" s="6" t="n"/>
      <c r="H107" s="6" t="n"/>
      <c r="I107" s="5">
        <f>IF(H107="","",IFERROR(INDEX(Szabályok!$B$13:$B$200,MATCH(H107,Szabályok!$A$13:$A$200,0)),""))</f>
        <v/>
      </c>
      <c r="J107" s="5">
        <f>IF(H107="","",IFERROR(INDEX(Szabályok!$C$13:$C$200,MATCH(H107,Szabályok!$A$13:$A$200,0)),""))</f>
        <v/>
      </c>
      <c r="K107" s="5">
        <f>IF(H107="","",IFERROR(INDEX(Szabályok!$D$13:$D$200,MATCH(H107,Szabályok!$A$13:$A$200,0)),""))</f>
        <v/>
      </c>
      <c r="L107" s="5">
        <f>IF(H107="","",IFERROR(INDEX(Szabályok!$E$13:$E$200,MATCH(H107,Szabályok!$A$13:$A$200,0)),""))</f>
        <v/>
      </c>
      <c r="M107" s="5">
        <f>IF(H107="","",IFERROR(INDEX(Szabályok!$F$13:$F$200,MATCH(H107,Szabályok!$A$13:$A$200,0)),""))</f>
        <v/>
      </c>
      <c r="N107" s="5">
        <f>IF(H107="","",IFERROR(INDEX(Szabályok!$G$13:$G$200,MATCH(H107,Szabályok!$A$13:$A$200,0)),""))</f>
        <v/>
      </c>
      <c r="O107" s="5">
        <f>IF(H107="","",IFERROR(INDEX(Szabályok!$H$13:$H$200,MATCH(H107,Szabályok!$A$13:$A$200,0)),""))</f>
        <v/>
      </c>
      <c r="P107" s="5" t="n"/>
      <c r="Q107" s="6" t="n"/>
      <c r="R107" s="6" t="n"/>
      <c r="S107" s="6">
        <f>IF(COUNT(Q107:R107)=0,"",SUM(Q107:R107))</f>
        <v/>
      </c>
      <c r="T107" s="6" t="n"/>
      <c r="U107" s="5">
        <f>IF(T107="","",IF(L107&lt;&gt;"IGEN","IGEN",IF(S107&gt;=T107,"IGEN","NEM")))</f>
        <v/>
      </c>
      <c r="V107" s="5" t="n"/>
      <c r="W107" s="5" t="n"/>
      <c r="X107" s="5" t="n"/>
      <c r="Y107" s="5" t="n"/>
      <c r="Z107" s="5">
        <f>IF(X107="","",IF(COUNTIFS($X$5:$X$304,X107,$I$5:$I$304,"&lt;"&amp;I107)=0,I107,""))</f>
        <v/>
      </c>
      <c r="AA107" s="5">
        <f>IF(X107="","",IF(COUNTIFS($X$5:$X$304,X107,$I$5:$I$304,"&lt;"&amp;I107)&gt;0,"NEM",IF(COUNTIFS($X$5:$X$304,X107,$I$5:$I$304,I107)=1,"IGEN",IF(Y107=1,"IGEN","NEM"))))</f>
        <v/>
      </c>
      <c r="AB107" s="5">
        <f>IF(OR(I107="",J107=""),"",IF(OR(I107=0,V107="IGEN",W107="IGEN"),"X",IF(AND(K107&lt;&gt;"IGEN",L107="IGEN",U107="NEM"),"X",IF(AA107="IGEN",J107,"X"))))</f>
        <v/>
      </c>
      <c r="AC107" s="5">
        <f>IF(AB107="X",0,IF(D107="","",D107))</f>
        <v/>
      </c>
      <c r="AD107" s="5">
        <f>IF(AB107="X",IF(D107="","",D107),0)</f>
        <v/>
      </c>
      <c r="AE107" s="6" t="n"/>
      <c r="AF107" s="6">
        <f>IF(E107="","",SUMIFS($AI$5:AI107,$E$5:E107,E107)-AI107)</f>
        <v/>
      </c>
      <c r="AG107" s="6">
        <f>IF(AE107="","",MAX(0,AE107-AF107))</f>
        <v/>
      </c>
      <c r="AH107" s="6">
        <f>IF(S107="","",IF(OR(I107=0,V107="IGEN",W107="IGEN"),0,IF(AND(K107&lt;&gt;"IGEN",L107="IGEN",U107="NEM"),0,S107)))</f>
        <v/>
      </c>
      <c r="AI107" s="6">
        <f>IF(AH107="","",IF(M107="IGEN",MIN(AH107,AG107),AH107))</f>
        <v/>
      </c>
      <c r="AJ107" s="5" t="n"/>
    </row>
    <row r="108">
      <c r="A108" s="5" t="n"/>
      <c r="B108" s="5" t="n"/>
      <c r="C108" s="5" t="n"/>
      <c r="D108" s="5">
        <f>IF(AND(B108&lt;&gt;"",C108&lt;&gt;""),C108-B108+1,"")</f>
        <v/>
      </c>
      <c r="E108" s="5">
        <f>IF(B108&lt;&gt;"",YEAR(B108),"")</f>
        <v/>
      </c>
      <c r="F108" s="6" t="n"/>
      <c r="G108" s="6" t="n"/>
      <c r="H108" s="6" t="n"/>
      <c r="I108" s="5">
        <f>IF(H108="","",IFERROR(INDEX(Szabályok!$B$13:$B$200,MATCH(H108,Szabályok!$A$13:$A$200,0)),""))</f>
        <v/>
      </c>
      <c r="J108" s="5">
        <f>IF(H108="","",IFERROR(INDEX(Szabályok!$C$13:$C$200,MATCH(H108,Szabályok!$A$13:$A$200,0)),""))</f>
        <v/>
      </c>
      <c r="K108" s="5">
        <f>IF(H108="","",IFERROR(INDEX(Szabályok!$D$13:$D$200,MATCH(H108,Szabályok!$A$13:$A$200,0)),""))</f>
        <v/>
      </c>
      <c r="L108" s="5">
        <f>IF(H108="","",IFERROR(INDEX(Szabályok!$E$13:$E$200,MATCH(H108,Szabályok!$A$13:$A$200,0)),""))</f>
        <v/>
      </c>
      <c r="M108" s="5">
        <f>IF(H108="","",IFERROR(INDEX(Szabályok!$F$13:$F$200,MATCH(H108,Szabályok!$A$13:$A$200,0)),""))</f>
        <v/>
      </c>
      <c r="N108" s="5">
        <f>IF(H108="","",IFERROR(INDEX(Szabályok!$G$13:$G$200,MATCH(H108,Szabályok!$A$13:$A$200,0)),""))</f>
        <v/>
      </c>
      <c r="O108" s="5">
        <f>IF(H108="","",IFERROR(INDEX(Szabályok!$H$13:$H$200,MATCH(H108,Szabályok!$A$13:$A$200,0)),""))</f>
        <v/>
      </c>
      <c r="P108" s="5" t="n"/>
      <c r="Q108" s="6" t="n"/>
      <c r="R108" s="6" t="n"/>
      <c r="S108" s="6">
        <f>IF(COUNT(Q108:R108)=0,"",SUM(Q108:R108))</f>
        <v/>
      </c>
      <c r="T108" s="6" t="n"/>
      <c r="U108" s="5">
        <f>IF(T108="","",IF(L108&lt;&gt;"IGEN","IGEN",IF(S108&gt;=T108,"IGEN","NEM")))</f>
        <v/>
      </c>
      <c r="V108" s="5" t="n"/>
      <c r="W108" s="5" t="n"/>
      <c r="X108" s="5" t="n"/>
      <c r="Y108" s="5" t="n"/>
      <c r="Z108" s="5">
        <f>IF(X108="","",IF(COUNTIFS($X$5:$X$304,X108,$I$5:$I$304,"&lt;"&amp;I108)=0,I108,""))</f>
        <v/>
      </c>
      <c r="AA108" s="5">
        <f>IF(X108="","",IF(COUNTIFS($X$5:$X$304,X108,$I$5:$I$304,"&lt;"&amp;I108)&gt;0,"NEM",IF(COUNTIFS($X$5:$X$304,X108,$I$5:$I$304,I108)=1,"IGEN",IF(Y108=1,"IGEN","NEM"))))</f>
        <v/>
      </c>
      <c r="AB108" s="5">
        <f>IF(OR(I108="",J108=""),"",IF(OR(I108=0,V108="IGEN",W108="IGEN"),"X",IF(AND(K108&lt;&gt;"IGEN",L108="IGEN",U108="NEM"),"X",IF(AA108="IGEN",J108,"X"))))</f>
        <v/>
      </c>
      <c r="AC108" s="5">
        <f>IF(AB108="X",0,IF(D108="","",D108))</f>
        <v/>
      </c>
      <c r="AD108" s="5">
        <f>IF(AB108="X",IF(D108="","",D108),0)</f>
        <v/>
      </c>
      <c r="AE108" s="6" t="n"/>
      <c r="AF108" s="6">
        <f>IF(E108="","",SUMIFS($AI$5:AI108,$E$5:E108,E108)-AI108)</f>
        <v/>
      </c>
      <c r="AG108" s="6">
        <f>IF(AE108="","",MAX(0,AE108-AF108))</f>
        <v/>
      </c>
      <c r="AH108" s="6">
        <f>IF(S108="","",IF(OR(I108=0,V108="IGEN",W108="IGEN"),0,IF(AND(K108&lt;&gt;"IGEN",L108="IGEN",U108="NEM"),0,S108)))</f>
        <v/>
      </c>
      <c r="AI108" s="6">
        <f>IF(AH108="","",IF(M108="IGEN",MIN(AH108,AG108),AH108))</f>
        <v/>
      </c>
      <c r="AJ108" s="5" t="n"/>
    </row>
    <row r="109">
      <c r="A109" s="5" t="n"/>
      <c r="B109" s="5" t="n"/>
      <c r="C109" s="5" t="n"/>
      <c r="D109" s="5">
        <f>IF(AND(B109&lt;&gt;"",C109&lt;&gt;""),C109-B109+1,"")</f>
        <v/>
      </c>
      <c r="E109" s="5">
        <f>IF(B109&lt;&gt;"",YEAR(B109),"")</f>
        <v/>
      </c>
      <c r="F109" s="6" t="n"/>
      <c r="G109" s="6" t="n"/>
      <c r="H109" s="6" t="n"/>
      <c r="I109" s="5">
        <f>IF(H109="","",IFERROR(INDEX(Szabályok!$B$13:$B$200,MATCH(H109,Szabályok!$A$13:$A$200,0)),""))</f>
        <v/>
      </c>
      <c r="J109" s="5">
        <f>IF(H109="","",IFERROR(INDEX(Szabályok!$C$13:$C$200,MATCH(H109,Szabályok!$A$13:$A$200,0)),""))</f>
        <v/>
      </c>
      <c r="K109" s="5">
        <f>IF(H109="","",IFERROR(INDEX(Szabályok!$D$13:$D$200,MATCH(H109,Szabályok!$A$13:$A$200,0)),""))</f>
        <v/>
      </c>
      <c r="L109" s="5">
        <f>IF(H109="","",IFERROR(INDEX(Szabályok!$E$13:$E$200,MATCH(H109,Szabályok!$A$13:$A$200,0)),""))</f>
        <v/>
      </c>
      <c r="M109" s="5">
        <f>IF(H109="","",IFERROR(INDEX(Szabályok!$F$13:$F$200,MATCH(H109,Szabályok!$A$13:$A$200,0)),""))</f>
        <v/>
      </c>
      <c r="N109" s="5">
        <f>IF(H109="","",IFERROR(INDEX(Szabályok!$G$13:$G$200,MATCH(H109,Szabályok!$A$13:$A$200,0)),""))</f>
        <v/>
      </c>
      <c r="O109" s="5">
        <f>IF(H109="","",IFERROR(INDEX(Szabályok!$H$13:$H$200,MATCH(H109,Szabályok!$A$13:$A$200,0)),""))</f>
        <v/>
      </c>
      <c r="P109" s="5" t="n"/>
      <c r="Q109" s="6" t="n"/>
      <c r="R109" s="6" t="n"/>
      <c r="S109" s="6">
        <f>IF(COUNT(Q109:R109)=0,"",SUM(Q109:R109))</f>
        <v/>
      </c>
      <c r="T109" s="6" t="n"/>
      <c r="U109" s="5">
        <f>IF(T109="","",IF(L109&lt;&gt;"IGEN","IGEN",IF(S109&gt;=T109,"IGEN","NEM")))</f>
        <v/>
      </c>
      <c r="V109" s="5" t="n"/>
      <c r="W109" s="5" t="n"/>
      <c r="X109" s="5" t="n"/>
      <c r="Y109" s="5" t="n"/>
      <c r="Z109" s="5">
        <f>IF(X109="","",IF(COUNTIFS($X$5:$X$304,X109,$I$5:$I$304,"&lt;"&amp;I109)=0,I109,""))</f>
        <v/>
      </c>
      <c r="AA109" s="5">
        <f>IF(X109="","",IF(COUNTIFS($X$5:$X$304,X109,$I$5:$I$304,"&lt;"&amp;I109)&gt;0,"NEM",IF(COUNTIFS($X$5:$X$304,X109,$I$5:$I$304,I109)=1,"IGEN",IF(Y109=1,"IGEN","NEM"))))</f>
        <v/>
      </c>
      <c r="AB109" s="5">
        <f>IF(OR(I109="",J109=""),"",IF(OR(I109=0,V109="IGEN",W109="IGEN"),"X",IF(AND(K109&lt;&gt;"IGEN",L109="IGEN",U109="NEM"),"X",IF(AA109="IGEN",J109,"X"))))</f>
        <v/>
      </c>
      <c r="AC109" s="5">
        <f>IF(AB109="X",0,IF(D109="","",D109))</f>
        <v/>
      </c>
      <c r="AD109" s="5">
        <f>IF(AB109="X",IF(D109="","",D109),0)</f>
        <v/>
      </c>
      <c r="AE109" s="6" t="n"/>
      <c r="AF109" s="6">
        <f>IF(E109="","",SUMIFS($AI$5:AI109,$E$5:E109,E109)-AI109)</f>
        <v/>
      </c>
      <c r="AG109" s="6">
        <f>IF(AE109="","",MAX(0,AE109-AF109))</f>
        <v/>
      </c>
      <c r="AH109" s="6">
        <f>IF(S109="","",IF(OR(I109=0,V109="IGEN",W109="IGEN"),0,IF(AND(K109&lt;&gt;"IGEN",L109="IGEN",U109="NEM"),0,S109)))</f>
        <v/>
      </c>
      <c r="AI109" s="6">
        <f>IF(AH109="","",IF(M109="IGEN",MIN(AH109,AG109),AH109))</f>
        <v/>
      </c>
      <c r="AJ109" s="5" t="n"/>
    </row>
    <row r="110">
      <c r="A110" s="5" t="n"/>
      <c r="B110" s="5" t="n"/>
      <c r="C110" s="5" t="n"/>
      <c r="D110" s="5">
        <f>IF(AND(B110&lt;&gt;"",C110&lt;&gt;""),C110-B110+1,"")</f>
        <v/>
      </c>
      <c r="E110" s="5">
        <f>IF(B110&lt;&gt;"",YEAR(B110),"")</f>
        <v/>
      </c>
      <c r="F110" s="6" t="n"/>
      <c r="G110" s="6" t="n"/>
      <c r="H110" s="6" t="n"/>
      <c r="I110" s="5">
        <f>IF(H110="","",IFERROR(INDEX(Szabályok!$B$13:$B$200,MATCH(H110,Szabályok!$A$13:$A$200,0)),""))</f>
        <v/>
      </c>
      <c r="J110" s="5">
        <f>IF(H110="","",IFERROR(INDEX(Szabályok!$C$13:$C$200,MATCH(H110,Szabályok!$A$13:$A$200,0)),""))</f>
        <v/>
      </c>
      <c r="K110" s="5">
        <f>IF(H110="","",IFERROR(INDEX(Szabályok!$D$13:$D$200,MATCH(H110,Szabályok!$A$13:$A$200,0)),""))</f>
        <v/>
      </c>
      <c r="L110" s="5">
        <f>IF(H110="","",IFERROR(INDEX(Szabályok!$E$13:$E$200,MATCH(H110,Szabályok!$A$13:$A$200,0)),""))</f>
        <v/>
      </c>
      <c r="M110" s="5">
        <f>IF(H110="","",IFERROR(INDEX(Szabályok!$F$13:$F$200,MATCH(H110,Szabályok!$A$13:$A$200,0)),""))</f>
        <v/>
      </c>
      <c r="N110" s="5">
        <f>IF(H110="","",IFERROR(INDEX(Szabályok!$G$13:$G$200,MATCH(H110,Szabályok!$A$13:$A$200,0)),""))</f>
        <v/>
      </c>
      <c r="O110" s="5">
        <f>IF(H110="","",IFERROR(INDEX(Szabályok!$H$13:$H$200,MATCH(H110,Szabályok!$A$13:$A$200,0)),""))</f>
        <v/>
      </c>
      <c r="P110" s="5" t="n"/>
      <c r="Q110" s="6" t="n"/>
      <c r="R110" s="6" t="n"/>
      <c r="S110" s="6">
        <f>IF(COUNT(Q110:R110)=0,"",SUM(Q110:R110))</f>
        <v/>
      </c>
      <c r="T110" s="6" t="n"/>
      <c r="U110" s="5">
        <f>IF(T110="","",IF(L110&lt;&gt;"IGEN","IGEN",IF(S110&gt;=T110,"IGEN","NEM")))</f>
        <v/>
      </c>
      <c r="V110" s="5" t="n"/>
      <c r="W110" s="5" t="n"/>
      <c r="X110" s="5" t="n"/>
      <c r="Y110" s="5" t="n"/>
      <c r="Z110" s="5">
        <f>IF(X110="","",IF(COUNTIFS($X$5:$X$304,X110,$I$5:$I$304,"&lt;"&amp;I110)=0,I110,""))</f>
        <v/>
      </c>
      <c r="AA110" s="5">
        <f>IF(X110="","",IF(COUNTIFS($X$5:$X$304,X110,$I$5:$I$304,"&lt;"&amp;I110)&gt;0,"NEM",IF(COUNTIFS($X$5:$X$304,X110,$I$5:$I$304,I110)=1,"IGEN",IF(Y110=1,"IGEN","NEM"))))</f>
        <v/>
      </c>
      <c r="AB110" s="5">
        <f>IF(OR(I110="",J110=""),"",IF(OR(I110=0,V110="IGEN",W110="IGEN"),"X",IF(AND(K110&lt;&gt;"IGEN",L110="IGEN",U110="NEM"),"X",IF(AA110="IGEN",J110,"X"))))</f>
        <v/>
      </c>
      <c r="AC110" s="5">
        <f>IF(AB110="X",0,IF(D110="","",D110))</f>
        <v/>
      </c>
      <c r="AD110" s="5">
        <f>IF(AB110="X",IF(D110="","",D110),0)</f>
        <v/>
      </c>
      <c r="AE110" s="6" t="n"/>
      <c r="AF110" s="6">
        <f>IF(E110="","",SUMIFS($AI$5:AI110,$E$5:E110,E110)-AI110)</f>
        <v/>
      </c>
      <c r="AG110" s="6">
        <f>IF(AE110="","",MAX(0,AE110-AF110))</f>
        <v/>
      </c>
      <c r="AH110" s="6">
        <f>IF(S110="","",IF(OR(I110=0,V110="IGEN",W110="IGEN"),0,IF(AND(K110&lt;&gt;"IGEN",L110="IGEN",U110="NEM"),0,S110)))</f>
        <v/>
      </c>
      <c r="AI110" s="6">
        <f>IF(AH110="","",IF(M110="IGEN",MIN(AH110,AG110),AH110))</f>
        <v/>
      </c>
      <c r="AJ110" s="5" t="n"/>
    </row>
    <row r="111">
      <c r="A111" s="5" t="n"/>
      <c r="B111" s="5" t="n"/>
      <c r="C111" s="5" t="n"/>
      <c r="D111" s="5">
        <f>IF(AND(B111&lt;&gt;"",C111&lt;&gt;""),C111-B111+1,"")</f>
        <v/>
      </c>
      <c r="E111" s="5">
        <f>IF(B111&lt;&gt;"",YEAR(B111),"")</f>
        <v/>
      </c>
      <c r="F111" s="6" t="n"/>
      <c r="G111" s="6" t="n"/>
      <c r="H111" s="6" t="n"/>
      <c r="I111" s="5">
        <f>IF(H111="","",IFERROR(INDEX(Szabályok!$B$13:$B$200,MATCH(H111,Szabályok!$A$13:$A$200,0)),""))</f>
        <v/>
      </c>
      <c r="J111" s="5">
        <f>IF(H111="","",IFERROR(INDEX(Szabályok!$C$13:$C$200,MATCH(H111,Szabályok!$A$13:$A$200,0)),""))</f>
        <v/>
      </c>
      <c r="K111" s="5">
        <f>IF(H111="","",IFERROR(INDEX(Szabályok!$D$13:$D$200,MATCH(H111,Szabályok!$A$13:$A$200,0)),""))</f>
        <v/>
      </c>
      <c r="L111" s="5">
        <f>IF(H111="","",IFERROR(INDEX(Szabályok!$E$13:$E$200,MATCH(H111,Szabályok!$A$13:$A$200,0)),""))</f>
        <v/>
      </c>
      <c r="M111" s="5">
        <f>IF(H111="","",IFERROR(INDEX(Szabályok!$F$13:$F$200,MATCH(H111,Szabályok!$A$13:$A$200,0)),""))</f>
        <v/>
      </c>
      <c r="N111" s="5">
        <f>IF(H111="","",IFERROR(INDEX(Szabályok!$G$13:$G$200,MATCH(H111,Szabályok!$A$13:$A$200,0)),""))</f>
        <v/>
      </c>
      <c r="O111" s="5">
        <f>IF(H111="","",IFERROR(INDEX(Szabályok!$H$13:$H$200,MATCH(H111,Szabályok!$A$13:$A$200,0)),""))</f>
        <v/>
      </c>
      <c r="P111" s="5" t="n"/>
      <c r="Q111" s="6" t="n"/>
      <c r="R111" s="6" t="n"/>
      <c r="S111" s="6">
        <f>IF(COUNT(Q111:R111)=0,"",SUM(Q111:R111))</f>
        <v/>
      </c>
      <c r="T111" s="6" t="n"/>
      <c r="U111" s="5">
        <f>IF(T111="","",IF(L111&lt;&gt;"IGEN","IGEN",IF(S111&gt;=T111,"IGEN","NEM")))</f>
        <v/>
      </c>
      <c r="V111" s="5" t="n"/>
      <c r="W111" s="5" t="n"/>
      <c r="X111" s="5" t="n"/>
      <c r="Y111" s="5" t="n"/>
      <c r="Z111" s="5">
        <f>IF(X111="","",IF(COUNTIFS($X$5:$X$304,X111,$I$5:$I$304,"&lt;"&amp;I111)=0,I111,""))</f>
        <v/>
      </c>
      <c r="AA111" s="5">
        <f>IF(X111="","",IF(COUNTIFS($X$5:$X$304,X111,$I$5:$I$304,"&lt;"&amp;I111)&gt;0,"NEM",IF(COUNTIFS($X$5:$X$304,X111,$I$5:$I$304,I111)=1,"IGEN",IF(Y111=1,"IGEN","NEM"))))</f>
        <v/>
      </c>
      <c r="AB111" s="5">
        <f>IF(OR(I111="",J111=""),"",IF(OR(I111=0,V111="IGEN",W111="IGEN"),"X",IF(AND(K111&lt;&gt;"IGEN",L111="IGEN",U111="NEM"),"X",IF(AA111="IGEN",J111,"X"))))</f>
        <v/>
      </c>
      <c r="AC111" s="5">
        <f>IF(AB111="X",0,IF(D111="","",D111))</f>
        <v/>
      </c>
      <c r="AD111" s="5">
        <f>IF(AB111="X",IF(D111="","",D111),0)</f>
        <v/>
      </c>
      <c r="AE111" s="6" t="n"/>
      <c r="AF111" s="6">
        <f>IF(E111="","",SUMIFS($AI$5:AI111,$E$5:E111,E111)-AI111)</f>
        <v/>
      </c>
      <c r="AG111" s="6">
        <f>IF(AE111="","",MAX(0,AE111-AF111))</f>
        <v/>
      </c>
      <c r="AH111" s="6">
        <f>IF(S111="","",IF(OR(I111=0,V111="IGEN",W111="IGEN"),0,IF(AND(K111&lt;&gt;"IGEN",L111="IGEN",U111="NEM"),0,S111)))</f>
        <v/>
      </c>
      <c r="AI111" s="6">
        <f>IF(AH111="","",IF(M111="IGEN",MIN(AH111,AG111),AH111))</f>
        <v/>
      </c>
      <c r="AJ111" s="5" t="n"/>
    </row>
    <row r="112">
      <c r="A112" s="5" t="n"/>
      <c r="B112" s="5" t="n"/>
      <c r="C112" s="5" t="n"/>
      <c r="D112" s="5">
        <f>IF(AND(B112&lt;&gt;"",C112&lt;&gt;""),C112-B112+1,"")</f>
        <v/>
      </c>
      <c r="E112" s="5">
        <f>IF(B112&lt;&gt;"",YEAR(B112),"")</f>
        <v/>
      </c>
      <c r="F112" s="6" t="n"/>
      <c r="G112" s="6" t="n"/>
      <c r="H112" s="6" t="n"/>
      <c r="I112" s="5">
        <f>IF(H112="","",IFERROR(INDEX(Szabályok!$B$13:$B$200,MATCH(H112,Szabályok!$A$13:$A$200,0)),""))</f>
        <v/>
      </c>
      <c r="J112" s="5">
        <f>IF(H112="","",IFERROR(INDEX(Szabályok!$C$13:$C$200,MATCH(H112,Szabályok!$A$13:$A$200,0)),""))</f>
        <v/>
      </c>
      <c r="K112" s="5">
        <f>IF(H112="","",IFERROR(INDEX(Szabályok!$D$13:$D$200,MATCH(H112,Szabályok!$A$13:$A$200,0)),""))</f>
        <v/>
      </c>
      <c r="L112" s="5">
        <f>IF(H112="","",IFERROR(INDEX(Szabályok!$E$13:$E$200,MATCH(H112,Szabályok!$A$13:$A$200,0)),""))</f>
        <v/>
      </c>
      <c r="M112" s="5">
        <f>IF(H112="","",IFERROR(INDEX(Szabályok!$F$13:$F$200,MATCH(H112,Szabályok!$A$13:$A$200,0)),""))</f>
        <v/>
      </c>
      <c r="N112" s="5">
        <f>IF(H112="","",IFERROR(INDEX(Szabályok!$G$13:$G$200,MATCH(H112,Szabályok!$A$13:$A$200,0)),""))</f>
        <v/>
      </c>
      <c r="O112" s="5">
        <f>IF(H112="","",IFERROR(INDEX(Szabályok!$H$13:$H$200,MATCH(H112,Szabályok!$A$13:$A$200,0)),""))</f>
        <v/>
      </c>
      <c r="P112" s="5" t="n"/>
      <c r="Q112" s="6" t="n"/>
      <c r="R112" s="6" t="n"/>
      <c r="S112" s="6">
        <f>IF(COUNT(Q112:R112)=0,"",SUM(Q112:R112))</f>
        <v/>
      </c>
      <c r="T112" s="6" t="n"/>
      <c r="U112" s="5">
        <f>IF(T112="","",IF(L112&lt;&gt;"IGEN","IGEN",IF(S112&gt;=T112,"IGEN","NEM")))</f>
        <v/>
      </c>
      <c r="V112" s="5" t="n"/>
      <c r="W112" s="5" t="n"/>
      <c r="X112" s="5" t="n"/>
      <c r="Y112" s="5" t="n"/>
      <c r="Z112" s="5">
        <f>IF(X112="","",IF(COUNTIFS($X$5:$X$304,X112,$I$5:$I$304,"&lt;"&amp;I112)=0,I112,""))</f>
        <v/>
      </c>
      <c r="AA112" s="5">
        <f>IF(X112="","",IF(COUNTIFS($X$5:$X$304,X112,$I$5:$I$304,"&lt;"&amp;I112)&gt;0,"NEM",IF(COUNTIFS($X$5:$X$304,X112,$I$5:$I$304,I112)=1,"IGEN",IF(Y112=1,"IGEN","NEM"))))</f>
        <v/>
      </c>
      <c r="AB112" s="5">
        <f>IF(OR(I112="",J112=""),"",IF(OR(I112=0,V112="IGEN",W112="IGEN"),"X",IF(AND(K112&lt;&gt;"IGEN",L112="IGEN",U112="NEM"),"X",IF(AA112="IGEN",J112,"X"))))</f>
        <v/>
      </c>
      <c r="AC112" s="5">
        <f>IF(AB112="X",0,IF(D112="","",D112))</f>
        <v/>
      </c>
      <c r="AD112" s="5">
        <f>IF(AB112="X",IF(D112="","",D112),0)</f>
        <v/>
      </c>
      <c r="AE112" s="6" t="n"/>
      <c r="AF112" s="6">
        <f>IF(E112="","",SUMIFS($AI$5:AI112,$E$5:E112,E112)-AI112)</f>
        <v/>
      </c>
      <c r="AG112" s="6">
        <f>IF(AE112="","",MAX(0,AE112-AF112))</f>
        <v/>
      </c>
      <c r="AH112" s="6">
        <f>IF(S112="","",IF(OR(I112=0,V112="IGEN",W112="IGEN"),0,IF(AND(K112&lt;&gt;"IGEN",L112="IGEN",U112="NEM"),0,S112)))</f>
        <v/>
      </c>
      <c r="AI112" s="6">
        <f>IF(AH112="","",IF(M112="IGEN",MIN(AH112,AG112),AH112))</f>
        <v/>
      </c>
      <c r="AJ112" s="5" t="n"/>
    </row>
    <row r="113">
      <c r="A113" s="5" t="n"/>
      <c r="B113" s="5" t="n"/>
      <c r="C113" s="5" t="n"/>
      <c r="D113" s="5">
        <f>IF(AND(B113&lt;&gt;"",C113&lt;&gt;""),C113-B113+1,"")</f>
        <v/>
      </c>
      <c r="E113" s="5">
        <f>IF(B113&lt;&gt;"",YEAR(B113),"")</f>
        <v/>
      </c>
      <c r="F113" s="6" t="n"/>
      <c r="G113" s="6" t="n"/>
      <c r="H113" s="6" t="n"/>
      <c r="I113" s="5">
        <f>IF(H113="","",IFERROR(INDEX(Szabályok!$B$13:$B$200,MATCH(H113,Szabályok!$A$13:$A$200,0)),""))</f>
        <v/>
      </c>
      <c r="J113" s="5">
        <f>IF(H113="","",IFERROR(INDEX(Szabályok!$C$13:$C$200,MATCH(H113,Szabályok!$A$13:$A$200,0)),""))</f>
        <v/>
      </c>
      <c r="K113" s="5">
        <f>IF(H113="","",IFERROR(INDEX(Szabályok!$D$13:$D$200,MATCH(H113,Szabályok!$A$13:$A$200,0)),""))</f>
        <v/>
      </c>
      <c r="L113" s="5">
        <f>IF(H113="","",IFERROR(INDEX(Szabályok!$E$13:$E$200,MATCH(H113,Szabályok!$A$13:$A$200,0)),""))</f>
        <v/>
      </c>
      <c r="M113" s="5">
        <f>IF(H113="","",IFERROR(INDEX(Szabályok!$F$13:$F$200,MATCH(H113,Szabályok!$A$13:$A$200,0)),""))</f>
        <v/>
      </c>
      <c r="N113" s="5">
        <f>IF(H113="","",IFERROR(INDEX(Szabályok!$G$13:$G$200,MATCH(H113,Szabályok!$A$13:$A$200,0)),""))</f>
        <v/>
      </c>
      <c r="O113" s="5">
        <f>IF(H113="","",IFERROR(INDEX(Szabályok!$H$13:$H$200,MATCH(H113,Szabályok!$A$13:$A$200,0)),""))</f>
        <v/>
      </c>
      <c r="P113" s="5" t="n"/>
      <c r="Q113" s="6" t="n"/>
      <c r="R113" s="6" t="n"/>
      <c r="S113" s="6">
        <f>IF(COUNT(Q113:R113)=0,"",SUM(Q113:R113))</f>
        <v/>
      </c>
      <c r="T113" s="6" t="n"/>
      <c r="U113" s="5">
        <f>IF(T113="","",IF(L113&lt;&gt;"IGEN","IGEN",IF(S113&gt;=T113,"IGEN","NEM")))</f>
        <v/>
      </c>
      <c r="V113" s="5" t="n"/>
      <c r="W113" s="5" t="n"/>
      <c r="X113" s="5" t="n"/>
      <c r="Y113" s="5" t="n"/>
      <c r="Z113" s="5">
        <f>IF(X113="","",IF(COUNTIFS($X$5:$X$304,X113,$I$5:$I$304,"&lt;"&amp;I113)=0,I113,""))</f>
        <v/>
      </c>
      <c r="AA113" s="5">
        <f>IF(X113="","",IF(COUNTIFS($X$5:$X$304,X113,$I$5:$I$304,"&lt;"&amp;I113)&gt;0,"NEM",IF(COUNTIFS($X$5:$X$304,X113,$I$5:$I$304,I113)=1,"IGEN",IF(Y113=1,"IGEN","NEM"))))</f>
        <v/>
      </c>
      <c r="AB113" s="5">
        <f>IF(OR(I113="",J113=""),"",IF(OR(I113=0,V113="IGEN",W113="IGEN"),"X",IF(AND(K113&lt;&gt;"IGEN",L113="IGEN",U113="NEM"),"X",IF(AA113="IGEN",J113,"X"))))</f>
        <v/>
      </c>
      <c r="AC113" s="5">
        <f>IF(AB113="X",0,IF(D113="","",D113))</f>
        <v/>
      </c>
      <c r="AD113" s="5">
        <f>IF(AB113="X",IF(D113="","",D113),0)</f>
        <v/>
      </c>
      <c r="AE113" s="6" t="n"/>
      <c r="AF113" s="6">
        <f>IF(E113="","",SUMIFS($AI$5:AI113,$E$5:E113,E113)-AI113)</f>
        <v/>
      </c>
      <c r="AG113" s="6">
        <f>IF(AE113="","",MAX(0,AE113-AF113))</f>
        <v/>
      </c>
      <c r="AH113" s="6">
        <f>IF(S113="","",IF(OR(I113=0,V113="IGEN",W113="IGEN"),0,IF(AND(K113&lt;&gt;"IGEN",L113="IGEN",U113="NEM"),0,S113)))</f>
        <v/>
      </c>
      <c r="AI113" s="6">
        <f>IF(AH113="","",IF(M113="IGEN",MIN(AH113,AG113),AH113))</f>
        <v/>
      </c>
      <c r="AJ113" s="5" t="n"/>
    </row>
    <row r="114">
      <c r="A114" s="5" t="n"/>
      <c r="B114" s="5" t="n"/>
      <c r="C114" s="5" t="n"/>
      <c r="D114" s="5">
        <f>IF(AND(B114&lt;&gt;"",C114&lt;&gt;""),C114-B114+1,"")</f>
        <v/>
      </c>
      <c r="E114" s="5">
        <f>IF(B114&lt;&gt;"",YEAR(B114),"")</f>
        <v/>
      </c>
      <c r="F114" s="6" t="n"/>
      <c r="G114" s="6" t="n"/>
      <c r="H114" s="6" t="n"/>
      <c r="I114" s="5">
        <f>IF(H114="","",IFERROR(INDEX(Szabályok!$B$13:$B$200,MATCH(H114,Szabályok!$A$13:$A$200,0)),""))</f>
        <v/>
      </c>
      <c r="J114" s="5">
        <f>IF(H114="","",IFERROR(INDEX(Szabályok!$C$13:$C$200,MATCH(H114,Szabályok!$A$13:$A$200,0)),""))</f>
        <v/>
      </c>
      <c r="K114" s="5">
        <f>IF(H114="","",IFERROR(INDEX(Szabályok!$D$13:$D$200,MATCH(H114,Szabályok!$A$13:$A$200,0)),""))</f>
        <v/>
      </c>
      <c r="L114" s="5">
        <f>IF(H114="","",IFERROR(INDEX(Szabályok!$E$13:$E$200,MATCH(H114,Szabályok!$A$13:$A$200,0)),""))</f>
        <v/>
      </c>
      <c r="M114" s="5">
        <f>IF(H114="","",IFERROR(INDEX(Szabályok!$F$13:$F$200,MATCH(H114,Szabályok!$A$13:$A$200,0)),""))</f>
        <v/>
      </c>
      <c r="N114" s="5">
        <f>IF(H114="","",IFERROR(INDEX(Szabályok!$G$13:$G$200,MATCH(H114,Szabályok!$A$13:$A$200,0)),""))</f>
        <v/>
      </c>
      <c r="O114" s="5">
        <f>IF(H114="","",IFERROR(INDEX(Szabályok!$H$13:$H$200,MATCH(H114,Szabályok!$A$13:$A$200,0)),""))</f>
        <v/>
      </c>
      <c r="P114" s="5" t="n"/>
      <c r="Q114" s="6" t="n"/>
      <c r="R114" s="6" t="n"/>
      <c r="S114" s="6">
        <f>IF(COUNT(Q114:R114)=0,"",SUM(Q114:R114))</f>
        <v/>
      </c>
      <c r="T114" s="6" t="n"/>
      <c r="U114" s="5">
        <f>IF(T114="","",IF(L114&lt;&gt;"IGEN","IGEN",IF(S114&gt;=T114,"IGEN","NEM")))</f>
        <v/>
      </c>
      <c r="V114" s="5" t="n"/>
      <c r="W114" s="5" t="n"/>
      <c r="X114" s="5" t="n"/>
      <c r="Y114" s="5" t="n"/>
      <c r="Z114" s="5">
        <f>IF(X114="","",IF(COUNTIFS($X$5:$X$304,X114,$I$5:$I$304,"&lt;"&amp;I114)=0,I114,""))</f>
        <v/>
      </c>
      <c r="AA114" s="5">
        <f>IF(X114="","",IF(COUNTIFS($X$5:$X$304,X114,$I$5:$I$304,"&lt;"&amp;I114)&gt;0,"NEM",IF(COUNTIFS($X$5:$X$304,X114,$I$5:$I$304,I114)=1,"IGEN",IF(Y114=1,"IGEN","NEM"))))</f>
        <v/>
      </c>
      <c r="AB114" s="5">
        <f>IF(OR(I114="",J114=""),"",IF(OR(I114=0,V114="IGEN",W114="IGEN"),"X",IF(AND(K114&lt;&gt;"IGEN",L114="IGEN",U114="NEM"),"X",IF(AA114="IGEN",J114,"X"))))</f>
        <v/>
      </c>
      <c r="AC114" s="5">
        <f>IF(AB114="X",0,IF(D114="","",D114))</f>
        <v/>
      </c>
      <c r="AD114" s="5">
        <f>IF(AB114="X",IF(D114="","",D114),0)</f>
        <v/>
      </c>
      <c r="AE114" s="6" t="n"/>
      <c r="AF114" s="6">
        <f>IF(E114="","",SUMIFS($AI$5:AI114,$E$5:E114,E114)-AI114)</f>
        <v/>
      </c>
      <c r="AG114" s="6">
        <f>IF(AE114="","",MAX(0,AE114-AF114))</f>
        <v/>
      </c>
      <c r="AH114" s="6">
        <f>IF(S114="","",IF(OR(I114=0,V114="IGEN",W114="IGEN"),0,IF(AND(K114&lt;&gt;"IGEN",L114="IGEN",U114="NEM"),0,S114)))</f>
        <v/>
      </c>
      <c r="AI114" s="6">
        <f>IF(AH114="","",IF(M114="IGEN",MIN(AH114,AG114),AH114))</f>
        <v/>
      </c>
      <c r="AJ114" s="5" t="n"/>
    </row>
    <row r="115">
      <c r="A115" s="5" t="n"/>
      <c r="B115" s="5" t="n"/>
      <c r="C115" s="5" t="n"/>
      <c r="D115" s="5">
        <f>IF(AND(B115&lt;&gt;"",C115&lt;&gt;""),C115-B115+1,"")</f>
        <v/>
      </c>
      <c r="E115" s="5">
        <f>IF(B115&lt;&gt;"",YEAR(B115),"")</f>
        <v/>
      </c>
      <c r="F115" s="6" t="n"/>
      <c r="G115" s="6" t="n"/>
      <c r="H115" s="6" t="n"/>
      <c r="I115" s="5">
        <f>IF(H115="","",IFERROR(INDEX(Szabályok!$B$13:$B$200,MATCH(H115,Szabályok!$A$13:$A$200,0)),""))</f>
        <v/>
      </c>
      <c r="J115" s="5">
        <f>IF(H115="","",IFERROR(INDEX(Szabályok!$C$13:$C$200,MATCH(H115,Szabályok!$A$13:$A$200,0)),""))</f>
        <v/>
      </c>
      <c r="K115" s="5">
        <f>IF(H115="","",IFERROR(INDEX(Szabályok!$D$13:$D$200,MATCH(H115,Szabályok!$A$13:$A$200,0)),""))</f>
        <v/>
      </c>
      <c r="L115" s="5">
        <f>IF(H115="","",IFERROR(INDEX(Szabályok!$E$13:$E$200,MATCH(H115,Szabályok!$A$13:$A$200,0)),""))</f>
        <v/>
      </c>
      <c r="M115" s="5">
        <f>IF(H115="","",IFERROR(INDEX(Szabályok!$F$13:$F$200,MATCH(H115,Szabályok!$A$13:$A$200,0)),""))</f>
        <v/>
      </c>
      <c r="N115" s="5">
        <f>IF(H115="","",IFERROR(INDEX(Szabályok!$G$13:$G$200,MATCH(H115,Szabályok!$A$13:$A$200,0)),""))</f>
        <v/>
      </c>
      <c r="O115" s="5">
        <f>IF(H115="","",IFERROR(INDEX(Szabályok!$H$13:$H$200,MATCH(H115,Szabályok!$A$13:$A$200,0)),""))</f>
        <v/>
      </c>
      <c r="P115" s="5" t="n"/>
      <c r="Q115" s="6" t="n"/>
      <c r="R115" s="6" t="n"/>
      <c r="S115" s="6">
        <f>IF(COUNT(Q115:R115)=0,"",SUM(Q115:R115))</f>
        <v/>
      </c>
      <c r="T115" s="6" t="n"/>
      <c r="U115" s="5">
        <f>IF(T115="","",IF(L115&lt;&gt;"IGEN","IGEN",IF(S115&gt;=T115,"IGEN","NEM")))</f>
        <v/>
      </c>
      <c r="V115" s="5" t="n"/>
      <c r="W115" s="5" t="n"/>
      <c r="X115" s="5" t="n"/>
      <c r="Y115" s="5" t="n"/>
      <c r="Z115" s="5">
        <f>IF(X115="","",IF(COUNTIFS($X$5:$X$304,X115,$I$5:$I$304,"&lt;"&amp;I115)=0,I115,""))</f>
        <v/>
      </c>
      <c r="AA115" s="5">
        <f>IF(X115="","",IF(COUNTIFS($X$5:$X$304,X115,$I$5:$I$304,"&lt;"&amp;I115)&gt;0,"NEM",IF(COUNTIFS($X$5:$X$304,X115,$I$5:$I$304,I115)=1,"IGEN",IF(Y115=1,"IGEN","NEM"))))</f>
        <v/>
      </c>
      <c r="AB115" s="5">
        <f>IF(OR(I115="",J115=""),"",IF(OR(I115=0,V115="IGEN",W115="IGEN"),"X",IF(AND(K115&lt;&gt;"IGEN",L115="IGEN",U115="NEM"),"X",IF(AA115="IGEN",J115,"X"))))</f>
        <v/>
      </c>
      <c r="AC115" s="5">
        <f>IF(AB115="X",0,IF(D115="","",D115))</f>
        <v/>
      </c>
      <c r="AD115" s="5">
        <f>IF(AB115="X",IF(D115="","",D115),0)</f>
        <v/>
      </c>
      <c r="AE115" s="6" t="n"/>
      <c r="AF115" s="6">
        <f>IF(E115="","",SUMIFS($AI$5:AI115,$E$5:E115,E115)-AI115)</f>
        <v/>
      </c>
      <c r="AG115" s="6">
        <f>IF(AE115="","",MAX(0,AE115-AF115))</f>
        <v/>
      </c>
      <c r="AH115" s="6">
        <f>IF(S115="","",IF(OR(I115=0,V115="IGEN",W115="IGEN"),0,IF(AND(K115&lt;&gt;"IGEN",L115="IGEN",U115="NEM"),0,S115)))</f>
        <v/>
      </c>
      <c r="AI115" s="6">
        <f>IF(AH115="","",IF(M115="IGEN",MIN(AH115,AG115),AH115))</f>
        <v/>
      </c>
      <c r="AJ115" s="5" t="n"/>
    </row>
    <row r="116">
      <c r="A116" s="5" t="n"/>
      <c r="B116" s="5" t="n"/>
      <c r="C116" s="5" t="n"/>
      <c r="D116" s="5">
        <f>IF(AND(B116&lt;&gt;"",C116&lt;&gt;""),C116-B116+1,"")</f>
        <v/>
      </c>
      <c r="E116" s="5">
        <f>IF(B116&lt;&gt;"",YEAR(B116),"")</f>
        <v/>
      </c>
      <c r="F116" s="6" t="n"/>
      <c r="G116" s="6" t="n"/>
      <c r="H116" s="6" t="n"/>
      <c r="I116" s="5">
        <f>IF(H116="","",IFERROR(INDEX(Szabályok!$B$13:$B$200,MATCH(H116,Szabályok!$A$13:$A$200,0)),""))</f>
        <v/>
      </c>
      <c r="J116" s="5">
        <f>IF(H116="","",IFERROR(INDEX(Szabályok!$C$13:$C$200,MATCH(H116,Szabályok!$A$13:$A$200,0)),""))</f>
        <v/>
      </c>
      <c r="K116" s="5">
        <f>IF(H116="","",IFERROR(INDEX(Szabályok!$D$13:$D$200,MATCH(H116,Szabályok!$A$13:$A$200,0)),""))</f>
        <v/>
      </c>
      <c r="L116" s="5">
        <f>IF(H116="","",IFERROR(INDEX(Szabályok!$E$13:$E$200,MATCH(H116,Szabályok!$A$13:$A$200,0)),""))</f>
        <v/>
      </c>
      <c r="M116" s="5">
        <f>IF(H116="","",IFERROR(INDEX(Szabályok!$F$13:$F$200,MATCH(H116,Szabályok!$A$13:$A$200,0)),""))</f>
        <v/>
      </c>
      <c r="N116" s="5">
        <f>IF(H116="","",IFERROR(INDEX(Szabályok!$G$13:$G$200,MATCH(H116,Szabályok!$A$13:$A$200,0)),""))</f>
        <v/>
      </c>
      <c r="O116" s="5">
        <f>IF(H116="","",IFERROR(INDEX(Szabályok!$H$13:$H$200,MATCH(H116,Szabályok!$A$13:$A$200,0)),""))</f>
        <v/>
      </c>
      <c r="P116" s="5" t="n"/>
      <c r="Q116" s="6" t="n"/>
      <c r="R116" s="6" t="n"/>
      <c r="S116" s="6">
        <f>IF(COUNT(Q116:R116)=0,"",SUM(Q116:R116))</f>
        <v/>
      </c>
      <c r="T116" s="6" t="n"/>
      <c r="U116" s="5">
        <f>IF(T116="","",IF(L116&lt;&gt;"IGEN","IGEN",IF(S116&gt;=T116,"IGEN","NEM")))</f>
        <v/>
      </c>
      <c r="V116" s="5" t="n"/>
      <c r="W116" s="5" t="n"/>
      <c r="X116" s="5" t="n"/>
      <c r="Y116" s="5" t="n"/>
      <c r="Z116" s="5">
        <f>IF(X116="","",IF(COUNTIFS($X$5:$X$304,X116,$I$5:$I$304,"&lt;"&amp;I116)=0,I116,""))</f>
        <v/>
      </c>
      <c r="AA116" s="5">
        <f>IF(X116="","",IF(COUNTIFS($X$5:$X$304,X116,$I$5:$I$304,"&lt;"&amp;I116)&gt;0,"NEM",IF(COUNTIFS($X$5:$X$304,X116,$I$5:$I$304,I116)=1,"IGEN",IF(Y116=1,"IGEN","NEM"))))</f>
        <v/>
      </c>
      <c r="AB116" s="5">
        <f>IF(OR(I116="",J116=""),"",IF(OR(I116=0,V116="IGEN",W116="IGEN"),"X",IF(AND(K116&lt;&gt;"IGEN",L116="IGEN",U116="NEM"),"X",IF(AA116="IGEN",J116,"X"))))</f>
        <v/>
      </c>
      <c r="AC116" s="5">
        <f>IF(AB116="X",0,IF(D116="","",D116))</f>
        <v/>
      </c>
      <c r="AD116" s="5">
        <f>IF(AB116="X",IF(D116="","",D116),0)</f>
        <v/>
      </c>
      <c r="AE116" s="6" t="n"/>
      <c r="AF116" s="6">
        <f>IF(E116="","",SUMIFS($AI$5:AI116,$E$5:E116,E116)-AI116)</f>
        <v/>
      </c>
      <c r="AG116" s="6">
        <f>IF(AE116="","",MAX(0,AE116-AF116))</f>
        <v/>
      </c>
      <c r="AH116" s="6">
        <f>IF(S116="","",IF(OR(I116=0,V116="IGEN",W116="IGEN"),0,IF(AND(K116&lt;&gt;"IGEN",L116="IGEN",U116="NEM"),0,S116)))</f>
        <v/>
      </c>
      <c r="AI116" s="6">
        <f>IF(AH116="","",IF(M116="IGEN",MIN(AH116,AG116),AH116))</f>
        <v/>
      </c>
      <c r="AJ116" s="5" t="n"/>
    </row>
    <row r="117">
      <c r="A117" s="5" t="n"/>
      <c r="B117" s="5" t="n"/>
      <c r="C117" s="5" t="n"/>
      <c r="D117" s="5">
        <f>IF(AND(B117&lt;&gt;"",C117&lt;&gt;""),C117-B117+1,"")</f>
        <v/>
      </c>
      <c r="E117" s="5">
        <f>IF(B117&lt;&gt;"",YEAR(B117),"")</f>
        <v/>
      </c>
      <c r="F117" s="6" t="n"/>
      <c r="G117" s="6" t="n"/>
      <c r="H117" s="6" t="n"/>
      <c r="I117" s="5">
        <f>IF(H117="","",IFERROR(INDEX(Szabályok!$B$13:$B$200,MATCH(H117,Szabályok!$A$13:$A$200,0)),""))</f>
        <v/>
      </c>
      <c r="J117" s="5">
        <f>IF(H117="","",IFERROR(INDEX(Szabályok!$C$13:$C$200,MATCH(H117,Szabályok!$A$13:$A$200,0)),""))</f>
        <v/>
      </c>
      <c r="K117" s="5">
        <f>IF(H117="","",IFERROR(INDEX(Szabályok!$D$13:$D$200,MATCH(H117,Szabályok!$A$13:$A$200,0)),""))</f>
        <v/>
      </c>
      <c r="L117" s="5">
        <f>IF(H117="","",IFERROR(INDEX(Szabályok!$E$13:$E$200,MATCH(H117,Szabályok!$A$13:$A$200,0)),""))</f>
        <v/>
      </c>
      <c r="M117" s="5">
        <f>IF(H117="","",IFERROR(INDEX(Szabályok!$F$13:$F$200,MATCH(H117,Szabályok!$A$13:$A$200,0)),""))</f>
        <v/>
      </c>
      <c r="N117" s="5">
        <f>IF(H117="","",IFERROR(INDEX(Szabályok!$G$13:$G$200,MATCH(H117,Szabályok!$A$13:$A$200,0)),""))</f>
        <v/>
      </c>
      <c r="O117" s="5">
        <f>IF(H117="","",IFERROR(INDEX(Szabályok!$H$13:$H$200,MATCH(H117,Szabályok!$A$13:$A$200,0)),""))</f>
        <v/>
      </c>
      <c r="P117" s="5" t="n"/>
      <c r="Q117" s="6" t="n"/>
      <c r="R117" s="6" t="n"/>
      <c r="S117" s="6">
        <f>IF(COUNT(Q117:R117)=0,"",SUM(Q117:R117))</f>
        <v/>
      </c>
      <c r="T117" s="6" t="n"/>
      <c r="U117" s="5">
        <f>IF(T117="","",IF(L117&lt;&gt;"IGEN","IGEN",IF(S117&gt;=T117,"IGEN","NEM")))</f>
        <v/>
      </c>
      <c r="V117" s="5" t="n"/>
      <c r="W117" s="5" t="n"/>
      <c r="X117" s="5" t="n"/>
      <c r="Y117" s="5" t="n"/>
      <c r="Z117" s="5">
        <f>IF(X117="","",IF(COUNTIFS($X$5:$X$304,X117,$I$5:$I$304,"&lt;"&amp;I117)=0,I117,""))</f>
        <v/>
      </c>
      <c r="AA117" s="5">
        <f>IF(X117="","",IF(COUNTIFS($X$5:$X$304,X117,$I$5:$I$304,"&lt;"&amp;I117)&gt;0,"NEM",IF(COUNTIFS($X$5:$X$304,X117,$I$5:$I$304,I117)=1,"IGEN",IF(Y117=1,"IGEN","NEM"))))</f>
        <v/>
      </c>
      <c r="AB117" s="5">
        <f>IF(OR(I117="",J117=""),"",IF(OR(I117=0,V117="IGEN",W117="IGEN"),"X",IF(AND(K117&lt;&gt;"IGEN",L117="IGEN",U117="NEM"),"X",IF(AA117="IGEN",J117,"X"))))</f>
        <v/>
      </c>
      <c r="AC117" s="5">
        <f>IF(AB117="X",0,IF(D117="","",D117))</f>
        <v/>
      </c>
      <c r="AD117" s="5">
        <f>IF(AB117="X",IF(D117="","",D117),0)</f>
        <v/>
      </c>
      <c r="AE117" s="6" t="n"/>
      <c r="AF117" s="6">
        <f>IF(E117="","",SUMIFS($AI$5:AI117,$E$5:E117,E117)-AI117)</f>
        <v/>
      </c>
      <c r="AG117" s="6">
        <f>IF(AE117="","",MAX(0,AE117-AF117))</f>
        <v/>
      </c>
      <c r="AH117" s="6">
        <f>IF(S117="","",IF(OR(I117=0,V117="IGEN",W117="IGEN"),0,IF(AND(K117&lt;&gt;"IGEN",L117="IGEN",U117="NEM"),0,S117)))</f>
        <v/>
      </c>
      <c r="AI117" s="6">
        <f>IF(AH117="","",IF(M117="IGEN",MIN(AH117,AG117),AH117))</f>
        <v/>
      </c>
      <c r="AJ117" s="5" t="n"/>
    </row>
    <row r="118">
      <c r="A118" s="5" t="n"/>
      <c r="B118" s="5" t="n"/>
      <c r="C118" s="5" t="n"/>
      <c r="D118" s="5">
        <f>IF(AND(B118&lt;&gt;"",C118&lt;&gt;""),C118-B118+1,"")</f>
        <v/>
      </c>
      <c r="E118" s="5">
        <f>IF(B118&lt;&gt;"",YEAR(B118),"")</f>
        <v/>
      </c>
      <c r="F118" s="6" t="n"/>
      <c r="G118" s="6" t="n"/>
      <c r="H118" s="6" t="n"/>
      <c r="I118" s="5">
        <f>IF(H118="","",IFERROR(INDEX(Szabályok!$B$13:$B$200,MATCH(H118,Szabályok!$A$13:$A$200,0)),""))</f>
        <v/>
      </c>
      <c r="J118" s="5">
        <f>IF(H118="","",IFERROR(INDEX(Szabályok!$C$13:$C$200,MATCH(H118,Szabályok!$A$13:$A$200,0)),""))</f>
        <v/>
      </c>
      <c r="K118" s="5">
        <f>IF(H118="","",IFERROR(INDEX(Szabályok!$D$13:$D$200,MATCH(H118,Szabályok!$A$13:$A$200,0)),""))</f>
        <v/>
      </c>
      <c r="L118" s="5">
        <f>IF(H118="","",IFERROR(INDEX(Szabályok!$E$13:$E$200,MATCH(H118,Szabályok!$A$13:$A$200,0)),""))</f>
        <v/>
      </c>
      <c r="M118" s="5">
        <f>IF(H118="","",IFERROR(INDEX(Szabályok!$F$13:$F$200,MATCH(H118,Szabályok!$A$13:$A$200,0)),""))</f>
        <v/>
      </c>
      <c r="N118" s="5">
        <f>IF(H118="","",IFERROR(INDEX(Szabályok!$G$13:$G$200,MATCH(H118,Szabályok!$A$13:$A$200,0)),""))</f>
        <v/>
      </c>
      <c r="O118" s="5">
        <f>IF(H118="","",IFERROR(INDEX(Szabályok!$H$13:$H$200,MATCH(H118,Szabályok!$A$13:$A$200,0)),""))</f>
        <v/>
      </c>
      <c r="P118" s="5" t="n"/>
      <c r="Q118" s="6" t="n"/>
      <c r="R118" s="6" t="n"/>
      <c r="S118" s="6">
        <f>IF(COUNT(Q118:R118)=0,"",SUM(Q118:R118))</f>
        <v/>
      </c>
      <c r="T118" s="6" t="n"/>
      <c r="U118" s="5">
        <f>IF(T118="","",IF(L118&lt;&gt;"IGEN","IGEN",IF(S118&gt;=T118,"IGEN","NEM")))</f>
        <v/>
      </c>
      <c r="V118" s="5" t="n"/>
      <c r="W118" s="5" t="n"/>
      <c r="X118" s="5" t="n"/>
      <c r="Y118" s="5" t="n"/>
      <c r="Z118" s="5">
        <f>IF(X118="","",IF(COUNTIFS($X$5:$X$304,X118,$I$5:$I$304,"&lt;"&amp;I118)=0,I118,""))</f>
        <v/>
      </c>
      <c r="AA118" s="5">
        <f>IF(X118="","",IF(COUNTIFS($X$5:$X$304,X118,$I$5:$I$304,"&lt;"&amp;I118)&gt;0,"NEM",IF(COUNTIFS($X$5:$X$304,X118,$I$5:$I$304,I118)=1,"IGEN",IF(Y118=1,"IGEN","NEM"))))</f>
        <v/>
      </c>
      <c r="AB118" s="5">
        <f>IF(OR(I118="",J118=""),"",IF(OR(I118=0,V118="IGEN",W118="IGEN"),"X",IF(AND(K118&lt;&gt;"IGEN",L118="IGEN",U118="NEM"),"X",IF(AA118="IGEN",J118,"X"))))</f>
        <v/>
      </c>
      <c r="AC118" s="5">
        <f>IF(AB118="X",0,IF(D118="","",D118))</f>
        <v/>
      </c>
      <c r="AD118" s="5">
        <f>IF(AB118="X",IF(D118="","",D118),0)</f>
        <v/>
      </c>
      <c r="AE118" s="6" t="n"/>
      <c r="AF118" s="6">
        <f>IF(E118="","",SUMIFS($AI$5:AI118,$E$5:E118,E118)-AI118)</f>
        <v/>
      </c>
      <c r="AG118" s="6">
        <f>IF(AE118="","",MAX(0,AE118-AF118))</f>
        <v/>
      </c>
      <c r="AH118" s="6">
        <f>IF(S118="","",IF(OR(I118=0,V118="IGEN",W118="IGEN"),0,IF(AND(K118&lt;&gt;"IGEN",L118="IGEN",U118="NEM"),0,S118)))</f>
        <v/>
      </c>
      <c r="AI118" s="6">
        <f>IF(AH118="","",IF(M118="IGEN",MIN(AH118,AG118),AH118))</f>
        <v/>
      </c>
      <c r="AJ118" s="5" t="n"/>
    </row>
    <row r="119">
      <c r="A119" s="5" t="n"/>
      <c r="B119" s="5" t="n"/>
      <c r="C119" s="5" t="n"/>
      <c r="D119" s="5">
        <f>IF(AND(B119&lt;&gt;"",C119&lt;&gt;""),C119-B119+1,"")</f>
        <v/>
      </c>
      <c r="E119" s="5">
        <f>IF(B119&lt;&gt;"",YEAR(B119),"")</f>
        <v/>
      </c>
      <c r="F119" s="6" t="n"/>
      <c r="G119" s="6" t="n"/>
      <c r="H119" s="6" t="n"/>
      <c r="I119" s="5">
        <f>IF(H119="","",IFERROR(INDEX(Szabályok!$B$13:$B$200,MATCH(H119,Szabályok!$A$13:$A$200,0)),""))</f>
        <v/>
      </c>
      <c r="J119" s="5">
        <f>IF(H119="","",IFERROR(INDEX(Szabályok!$C$13:$C$200,MATCH(H119,Szabályok!$A$13:$A$200,0)),""))</f>
        <v/>
      </c>
      <c r="K119" s="5">
        <f>IF(H119="","",IFERROR(INDEX(Szabályok!$D$13:$D$200,MATCH(H119,Szabályok!$A$13:$A$200,0)),""))</f>
        <v/>
      </c>
      <c r="L119" s="5">
        <f>IF(H119="","",IFERROR(INDEX(Szabályok!$E$13:$E$200,MATCH(H119,Szabályok!$A$13:$A$200,0)),""))</f>
        <v/>
      </c>
      <c r="M119" s="5">
        <f>IF(H119="","",IFERROR(INDEX(Szabályok!$F$13:$F$200,MATCH(H119,Szabályok!$A$13:$A$200,0)),""))</f>
        <v/>
      </c>
      <c r="N119" s="5">
        <f>IF(H119="","",IFERROR(INDEX(Szabályok!$G$13:$G$200,MATCH(H119,Szabályok!$A$13:$A$200,0)),""))</f>
        <v/>
      </c>
      <c r="O119" s="5">
        <f>IF(H119="","",IFERROR(INDEX(Szabályok!$H$13:$H$200,MATCH(H119,Szabályok!$A$13:$A$200,0)),""))</f>
        <v/>
      </c>
      <c r="P119" s="5" t="n"/>
      <c r="Q119" s="6" t="n"/>
      <c r="R119" s="6" t="n"/>
      <c r="S119" s="6">
        <f>IF(COUNT(Q119:R119)=0,"",SUM(Q119:R119))</f>
        <v/>
      </c>
      <c r="T119" s="6" t="n"/>
      <c r="U119" s="5">
        <f>IF(T119="","",IF(L119&lt;&gt;"IGEN","IGEN",IF(S119&gt;=T119,"IGEN","NEM")))</f>
        <v/>
      </c>
      <c r="V119" s="5" t="n"/>
      <c r="W119" s="5" t="n"/>
      <c r="X119" s="5" t="n"/>
      <c r="Y119" s="5" t="n"/>
      <c r="Z119" s="5">
        <f>IF(X119="","",IF(COUNTIFS($X$5:$X$304,X119,$I$5:$I$304,"&lt;"&amp;I119)=0,I119,""))</f>
        <v/>
      </c>
      <c r="AA119" s="5">
        <f>IF(X119="","",IF(COUNTIFS($X$5:$X$304,X119,$I$5:$I$304,"&lt;"&amp;I119)&gt;0,"NEM",IF(COUNTIFS($X$5:$X$304,X119,$I$5:$I$304,I119)=1,"IGEN",IF(Y119=1,"IGEN","NEM"))))</f>
        <v/>
      </c>
      <c r="AB119" s="5">
        <f>IF(OR(I119="",J119=""),"",IF(OR(I119=0,V119="IGEN",W119="IGEN"),"X",IF(AND(K119&lt;&gt;"IGEN",L119="IGEN",U119="NEM"),"X",IF(AA119="IGEN",J119,"X"))))</f>
        <v/>
      </c>
      <c r="AC119" s="5">
        <f>IF(AB119="X",0,IF(D119="","",D119))</f>
        <v/>
      </c>
      <c r="AD119" s="5">
        <f>IF(AB119="X",IF(D119="","",D119),0)</f>
        <v/>
      </c>
      <c r="AE119" s="6" t="n"/>
      <c r="AF119" s="6">
        <f>IF(E119="","",SUMIFS($AI$5:AI119,$E$5:E119,E119)-AI119)</f>
        <v/>
      </c>
      <c r="AG119" s="6">
        <f>IF(AE119="","",MAX(0,AE119-AF119))</f>
        <v/>
      </c>
      <c r="AH119" s="6">
        <f>IF(S119="","",IF(OR(I119=0,V119="IGEN",W119="IGEN"),0,IF(AND(K119&lt;&gt;"IGEN",L119="IGEN",U119="NEM"),0,S119)))</f>
        <v/>
      </c>
      <c r="AI119" s="6">
        <f>IF(AH119="","",IF(M119="IGEN",MIN(AH119,AG119),AH119))</f>
        <v/>
      </c>
      <c r="AJ119" s="5" t="n"/>
    </row>
    <row r="120">
      <c r="A120" s="5" t="n"/>
      <c r="B120" s="5" t="n"/>
      <c r="C120" s="5" t="n"/>
      <c r="D120" s="5">
        <f>IF(AND(B120&lt;&gt;"",C120&lt;&gt;""),C120-B120+1,"")</f>
        <v/>
      </c>
      <c r="E120" s="5">
        <f>IF(B120&lt;&gt;"",YEAR(B120),"")</f>
        <v/>
      </c>
      <c r="F120" s="6" t="n"/>
      <c r="G120" s="6" t="n"/>
      <c r="H120" s="6" t="n"/>
      <c r="I120" s="5">
        <f>IF(H120="","",IFERROR(INDEX(Szabályok!$B$13:$B$200,MATCH(H120,Szabályok!$A$13:$A$200,0)),""))</f>
        <v/>
      </c>
      <c r="J120" s="5">
        <f>IF(H120="","",IFERROR(INDEX(Szabályok!$C$13:$C$200,MATCH(H120,Szabályok!$A$13:$A$200,0)),""))</f>
        <v/>
      </c>
      <c r="K120" s="5">
        <f>IF(H120="","",IFERROR(INDEX(Szabályok!$D$13:$D$200,MATCH(H120,Szabályok!$A$13:$A$200,0)),""))</f>
        <v/>
      </c>
      <c r="L120" s="5">
        <f>IF(H120="","",IFERROR(INDEX(Szabályok!$E$13:$E$200,MATCH(H120,Szabályok!$A$13:$A$200,0)),""))</f>
        <v/>
      </c>
      <c r="M120" s="5">
        <f>IF(H120="","",IFERROR(INDEX(Szabályok!$F$13:$F$200,MATCH(H120,Szabályok!$A$13:$A$200,0)),""))</f>
        <v/>
      </c>
      <c r="N120" s="5">
        <f>IF(H120="","",IFERROR(INDEX(Szabályok!$G$13:$G$200,MATCH(H120,Szabályok!$A$13:$A$200,0)),""))</f>
        <v/>
      </c>
      <c r="O120" s="5">
        <f>IF(H120="","",IFERROR(INDEX(Szabályok!$H$13:$H$200,MATCH(H120,Szabályok!$A$13:$A$200,0)),""))</f>
        <v/>
      </c>
      <c r="P120" s="5" t="n"/>
      <c r="Q120" s="6" t="n"/>
      <c r="R120" s="6" t="n"/>
      <c r="S120" s="6">
        <f>IF(COUNT(Q120:R120)=0,"",SUM(Q120:R120))</f>
        <v/>
      </c>
      <c r="T120" s="6" t="n"/>
      <c r="U120" s="5">
        <f>IF(T120="","",IF(L120&lt;&gt;"IGEN","IGEN",IF(S120&gt;=T120,"IGEN","NEM")))</f>
        <v/>
      </c>
      <c r="V120" s="5" t="n"/>
      <c r="W120" s="5" t="n"/>
      <c r="X120" s="5" t="n"/>
      <c r="Y120" s="5" t="n"/>
      <c r="Z120" s="5">
        <f>IF(X120="","",IF(COUNTIFS($X$5:$X$304,X120,$I$5:$I$304,"&lt;"&amp;I120)=0,I120,""))</f>
        <v/>
      </c>
      <c r="AA120" s="5">
        <f>IF(X120="","",IF(COUNTIFS($X$5:$X$304,X120,$I$5:$I$304,"&lt;"&amp;I120)&gt;0,"NEM",IF(COUNTIFS($X$5:$X$304,X120,$I$5:$I$304,I120)=1,"IGEN",IF(Y120=1,"IGEN","NEM"))))</f>
        <v/>
      </c>
      <c r="AB120" s="5">
        <f>IF(OR(I120="",J120=""),"",IF(OR(I120=0,V120="IGEN",W120="IGEN"),"X",IF(AND(K120&lt;&gt;"IGEN",L120="IGEN",U120="NEM"),"X",IF(AA120="IGEN",J120,"X"))))</f>
        <v/>
      </c>
      <c r="AC120" s="5">
        <f>IF(AB120="X",0,IF(D120="","",D120))</f>
        <v/>
      </c>
      <c r="AD120" s="5">
        <f>IF(AB120="X",IF(D120="","",D120),0)</f>
        <v/>
      </c>
      <c r="AE120" s="6" t="n"/>
      <c r="AF120" s="6">
        <f>IF(E120="","",SUMIFS($AI$5:AI120,$E$5:E120,E120)-AI120)</f>
        <v/>
      </c>
      <c r="AG120" s="6">
        <f>IF(AE120="","",MAX(0,AE120-AF120))</f>
        <v/>
      </c>
      <c r="AH120" s="6">
        <f>IF(S120="","",IF(OR(I120=0,V120="IGEN",W120="IGEN"),0,IF(AND(K120&lt;&gt;"IGEN",L120="IGEN",U120="NEM"),0,S120)))</f>
        <v/>
      </c>
      <c r="AI120" s="6">
        <f>IF(AH120="","",IF(M120="IGEN",MIN(AH120,AG120),AH120))</f>
        <v/>
      </c>
      <c r="AJ120" s="5" t="n"/>
    </row>
    <row r="121">
      <c r="A121" s="5" t="n"/>
      <c r="B121" s="5" t="n"/>
      <c r="C121" s="5" t="n"/>
      <c r="D121" s="5">
        <f>IF(AND(B121&lt;&gt;"",C121&lt;&gt;""),C121-B121+1,"")</f>
        <v/>
      </c>
      <c r="E121" s="5">
        <f>IF(B121&lt;&gt;"",YEAR(B121),"")</f>
        <v/>
      </c>
      <c r="F121" s="6" t="n"/>
      <c r="G121" s="6" t="n"/>
      <c r="H121" s="6" t="n"/>
      <c r="I121" s="5">
        <f>IF(H121="","",IFERROR(INDEX(Szabályok!$B$13:$B$200,MATCH(H121,Szabályok!$A$13:$A$200,0)),""))</f>
        <v/>
      </c>
      <c r="J121" s="5">
        <f>IF(H121="","",IFERROR(INDEX(Szabályok!$C$13:$C$200,MATCH(H121,Szabályok!$A$13:$A$200,0)),""))</f>
        <v/>
      </c>
      <c r="K121" s="5">
        <f>IF(H121="","",IFERROR(INDEX(Szabályok!$D$13:$D$200,MATCH(H121,Szabályok!$A$13:$A$200,0)),""))</f>
        <v/>
      </c>
      <c r="L121" s="5">
        <f>IF(H121="","",IFERROR(INDEX(Szabályok!$E$13:$E$200,MATCH(H121,Szabályok!$A$13:$A$200,0)),""))</f>
        <v/>
      </c>
      <c r="M121" s="5">
        <f>IF(H121="","",IFERROR(INDEX(Szabályok!$F$13:$F$200,MATCH(H121,Szabályok!$A$13:$A$200,0)),""))</f>
        <v/>
      </c>
      <c r="N121" s="5">
        <f>IF(H121="","",IFERROR(INDEX(Szabályok!$G$13:$G$200,MATCH(H121,Szabályok!$A$13:$A$200,0)),""))</f>
        <v/>
      </c>
      <c r="O121" s="5">
        <f>IF(H121="","",IFERROR(INDEX(Szabályok!$H$13:$H$200,MATCH(H121,Szabályok!$A$13:$A$200,0)),""))</f>
        <v/>
      </c>
      <c r="P121" s="5" t="n"/>
      <c r="Q121" s="6" t="n"/>
      <c r="R121" s="6" t="n"/>
      <c r="S121" s="6">
        <f>IF(COUNT(Q121:R121)=0,"",SUM(Q121:R121))</f>
        <v/>
      </c>
      <c r="T121" s="6" t="n"/>
      <c r="U121" s="5">
        <f>IF(T121="","",IF(L121&lt;&gt;"IGEN","IGEN",IF(S121&gt;=T121,"IGEN","NEM")))</f>
        <v/>
      </c>
      <c r="V121" s="5" t="n"/>
      <c r="W121" s="5" t="n"/>
      <c r="X121" s="5" t="n"/>
      <c r="Y121" s="5" t="n"/>
      <c r="Z121" s="5">
        <f>IF(X121="","",IF(COUNTIFS($X$5:$X$304,X121,$I$5:$I$304,"&lt;"&amp;I121)=0,I121,""))</f>
        <v/>
      </c>
      <c r="AA121" s="5">
        <f>IF(X121="","",IF(COUNTIFS($X$5:$X$304,X121,$I$5:$I$304,"&lt;"&amp;I121)&gt;0,"NEM",IF(COUNTIFS($X$5:$X$304,X121,$I$5:$I$304,I121)=1,"IGEN",IF(Y121=1,"IGEN","NEM"))))</f>
        <v/>
      </c>
      <c r="AB121" s="5">
        <f>IF(OR(I121="",J121=""),"",IF(OR(I121=0,V121="IGEN",W121="IGEN"),"X",IF(AND(K121&lt;&gt;"IGEN",L121="IGEN",U121="NEM"),"X",IF(AA121="IGEN",J121,"X"))))</f>
        <v/>
      </c>
      <c r="AC121" s="5">
        <f>IF(AB121="X",0,IF(D121="","",D121))</f>
        <v/>
      </c>
      <c r="AD121" s="5">
        <f>IF(AB121="X",IF(D121="","",D121),0)</f>
        <v/>
      </c>
      <c r="AE121" s="6" t="n"/>
      <c r="AF121" s="6">
        <f>IF(E121="","",SUMIFS($AI$5:AI121,$E$5:E121,E121)-AI121)</f>
        <v/>
      </c>
      <c r="AG121" s="6">
        <f>IF(AE121="","",MAX(0,AE121-AF121))</f>
        <v/>
      </c>
      <c r="AH121" s="6">
        <f>IF(S121="","",IF(OR(I121=0,V121="IGEN",W121="IGEN"),0,IF(AND(K121&lt;&gt;"IGEN",L121="IGEN",U121="NEM"),0,S121)))</f>
        <v/>
      </c>
      <c r="AI121" s="6">
        <f>IF(AH121="","",IF(M121="IGEN",MIN(AH121,AG121),AH121))</f>
        <v/>
      </c>
      <c r="AJ121" s="5" t="n"/>
    </row>
    <row r="122">
      <c r="A122" s="5" t="n"/>
      <c r="B122" s="5" t="n"/>
      <c r="C122" s="5" t="n"/>
      <c r="D122" s="5">
        <f>IF(AND(B122&lt;&gt;"",C122&lt;&gt;""),C122-B122+1,"")</f>
        <v/>
      </c>
      <c r="E122" s="5">
        <f>IF(B122&lt;&gt;"",YEAR(B122),"")</f>
        <v/>
      </c>
      <c r="F122" s="6" t="n"/>
      <c r="G122" s="6" t="n"/>
      <c r="H122" s="6" t="n"/>
      <c r="I122" s="5">
        <f>IF(H122="","",IFERROR(INDEX(Szabályok!$B$13:$B$200,MATCH(H122,Szabályok!$A$13:$A$200,0)),""))</f>
        <v/>
      </c>
      <c r="J122" s="5">
        <f>IF(H122="","",IFERROR(INDEX(Szabályok!$C$13:$C$200,MATCH(H122,Szabályok!$A$13:$A$200,0)),""))</f>
        <v/>
      </c>
      <c r="K122" s="5">
        <f>IF(H122="","",IFERROR(INDEX(Szabályok!$D$13:$D$200,MATCH(H122,Szabályok!$A$13:$A$200,0)),""))</f>
        <v/>
      </c>
      <c r="L122" s="5">
        <f>IF(H122="","",IFERROR(INDEX(Szabályok!$E$13:$E$200,MATCH(H122,Szabályok!$A$13:$A$200,0)),""))</f>
        <v/>
      </c>
      <c r="M122" s="5">
        <f>IF(H122="","",IFERROR(INDEX(Szabályok!$F$13:$F$200,MATCH(H122,Szabályok!$A$13:$A$200,0)),""))</f>
        <v/>
      </c>
      <c r="N122" s="5">
        <f>IF(H122="","",IFERROR(INDEX(Szabályok!$G$13:$G$200,MATCH(H122,Szabályok!$A$13:$A$200,0)),""))</f>
        <v/>
      </c>
      <c r="O122" s="5">
        <f>IF(H122="","",IFERROR(INDEX(Szabályok!$H$13:$H$200,MATCH(H122,Szabályok!$A$13:$A$200,0)),""))</f>
        <v/>
      </c>
      <c r="P122" s="5" t="n"/>
      <c r="Q122" s="6" t="n"/>
      <c r="R122" s="6" t="n"/>
      <c r="S122" s="6">
        <f>IF(COUNT(Q122:R122)=0,"",SUM(Q122:R122))</f>
        <v/>
      </c>
      <c r="T122" s="6" t="n"/>
      <c r="U122" s="5">
        <f>IF(T122="","",IF(L122&lt;&gt;"IGEN","IGEN",IF(S122&gt;=T122,"IGEN","NEM")))</f>
        <v/>
      </c>
      <c r="V122" s="5" t="n"/>
      <c r="W122" s="5" t="n"/>
      <c r="X122" s="5" t="n"/>
      <c r="Y122" s="5" t="n"/>
      <c r="Z122" s="5">
        <f>IF(X122="","",IF(COUNTIFS($X$5:$X$304,X122,$I$5:$I$304,"&lt;"&amp;I122)=0,I122,""))</f>
        <v/>
      </c>
      <c r="AA122" s="5">
        <f>IF(X122="","",IF(COUNTIFS($X$5:$X$304,X122,$I$5:$I$304,"&lt;"&amp;I122)&gt;0,"NEM",IF(COUNTIFS($X$5:$X$304,X122,$I$5:$I$304,I122)=1,"IGEN",IF(Y122=1,"IGEN","NEM"))))</f>
        <v/>
      </c>
      <c r="AB122" s="5">
        <f>IF(OR(I122="",J122=""),"",IF(OR(I122=0,V122="IGEN",W122="IGEN"),"X",IF(AND(K122&lt;&gt;"IGEN",L122="IGEN",U122="NEM"),"X",IF(AA122="IGEN",J122,"X"))))</f>
        <v/>
      </c>
      <c r="AC122" s="5">
        <f>IF(AB122="X",0,IF(D122="","",D122))</f>
        <v/>
      </c>
      <c r="AD122" s="5">
        <f>IF(AB122="X",IF(D122="","",D122),0)</f>
        <v/>
      </c>
      <c r="AE122" s="6" t="n"/>
      <c r="AF122" s="6">
        <f>IF(E122="","",SUMIFS($AI$5:AI122,$E$5:E122,E122)-AI122)</f>
        <v/>
      </c>
      <c r="AG122" s="6">
        <f>IF(AE122="","",MAX(0,AE122-AF122))</f>
        <v/>
      </c>
      <c r="AH122" s="6">
        <f>IF(S122="","",IF(OR(I122=0,V122="IGEN",W122="IGEN"),0,IF(AND(K122&lt;&gt;"IGEN",L122="IGEN",U122="NEM"),0,S122)))</f>
        <v/>
      </c>
      <c r="AI122" s="6">
        <f>IF(AH122="","",IF(M122="IGEN",MIN(AH122,AG122),AH122))</f>
        <v/>
      </c>
      <c r="AJ122" s="5" t="n"/>
    </row>
    <row r="123">
      <c r="A123" s="5" t="n"/>
      <c r="B123" s="5" t="n"/>
      <c r="C123" s="5" t="n"/>
      <c r="D123" s="5">
        <f>IF(AND(B123&lt;&gt;"",C123&lt;&gt;""),C123-B123+1,"")</f>
        <v/>
      </c>
      <c r="E123" s="5">
        <f>IF(B123&lt;&gt;"",YEAR(B123),"")</f>
        <v/>
      </c>
      <c r="F123" s="6" t="n"/>
      <c r="G123" s="6" t="n"/>
      <c r="H123" s="6" t="n"/>
      <c r="I123" s="5">
        <f>IF(H123="","",IFERROR(INDEX(Szabályok!$B$13:$B$200,MATCH(H123,Szabályok!$A$13:$A$200,0)),""))</f>
        <v/>
      </c>
      <c r="J123" s="5">
        <f>IF(H123="","",IFERROR(INDEX(Szabályok!$C$13:$C$200,MATCH(H123,Szabályok!$A$13:$A$200,0)),""))</f>
        <v/>
      </c>
      <c r="K123" s="5">
        <f>IF(H123="","",IFERROR(INDEX(Szabályok!$D$13:$D$200,MATCH(H123,Szabályok!$A$13:$A$200,0)),""))</f>
        <v/>
      </c>
      <c r="L123" s="5">
        <f>IF(H123="","",IFERROR(INDEX(Szabályok!$E$13:$E$200,MATCH(H123,Szabályok!$A$13:$A$200,0)),""))</f>
        <v/>
      </c>
      <c r="M123" s="5">
        <f>IF(H123="","",IFERROR(INDEX(Szabályok!$F$13:$F$200,MATCH(H123,Szabályok!$A$13:$A$200,0)),""))</f>
        <v/>
      </c>
      <c r="N123" s="5">
        <f>IF(H123="","",IFERROR(INDEX(Szabályok!$G$13:$G$200,MATCH(H123,Szabályok!$A$13:$A$200,0)),""))</f>
        <v/>
      </c>
      <c r="O123" s="5">
        <f>IF(H123="","",IFERROR(INDEX(Szabályok!$H$13:$H$200,MATCH(H123,Szabályok!$A$13:$A$200,0)),""))</f>
        <v/>
      </c>
      <c r="P123" s="5" t="n"/>
      <c r="Q123" s="6" t="n"/>
      <c r="R123" s="6" t="n"/>
      <c r="S123" s="6">
        <f>IF(COUNT(Q123:R123)=0,"",SUM(Q123:R123))</f>
        <v/>
      </c>
      <c r="T123" s="6" t="n"/>
      <c r="U123" s="5">
        <f>IF(T123="","",IF(L123&lt;&gt;"IGEN","IGEN",IF(S123&gt;=T123,"IGEN","NEM")))</f>
        <v/>
      </c>
      <c r="V123" s="5" t="n"/>
      <c r="W123" s="5" t="n"/>
      <c r="X123" s="5" t="n"/>
      <c r="Y123" s="5" t="n"/>
      <c r="Z123" s="5">
        <f>IF(X123="","",IF(COUNTIFS($X$5:$X$304,X123,$I$5:$I$304,"&lt;"&amp;I123)=0,I123,""))</f>
        <v/>
      </c>
      <c r="AA123" s="5">
        <f>IF(X123="","",IF(COUNTIFS($X$5:$X$304,X123,$I$5:$I$304,"&lt;"&amp;I123)&gt;0,"NEM",IF(COUNTIFS($X$5:$X$304,X123,$I$5:$I$304,I123)=1,"IGEN",IF(Y123=1,"IGEN","NEM"))))</f>
        <v/>
      </c>
      <c r="AB123" s="5">
        <f>IF(OR(I123="",J123=""),"",IF(OR(I123=0,V123="IGEN",W123="IGEN"),"X",IF(AND(K123&lt;&gt;"IGEN",L123="IGEN",U123="NEM"),"X",IF(AA123="IGEN",J123,"X"))))</f>
        <v/>
      </c>
      <c r="AC123" s="5">
        <f>IF(AB123="X",0,IF(D123="","",D123))</f>
        <v/>
      </c>
      <c r="AD123" s="5">
        <f>IF(AB123="X",IF(D123="","",D123),0)</f>
        <v/>
      </c>
      <c r="AE123" s="6" t="n"/>
      <c r="AF123" s="6">
        <f>IF(E123="","",SUMIFS($AI$5:AI123,$E$5:E123,E123)-AI123)</f>
        <v/>
      </c>
      <c r="AG123" s="6">
        <f>IF(AE123="","",MAX(0,AE123-AF123))</f>
        <v/>
      </c>
      <c r="AH123" s="6">
        <f>IF(S123="","",IF(OR(I123=0,V123="IGEN",W123="IGEN"),0,IF(AND(K123&lt;&gt;"IGEN",L123="IGEN",U123="NEM"),0,S123)))</f>
        <v/>
      </c>
      <c r="AI123" s="6">
        <f>IF(AH123="","",IF(M123="IGEN",MIN(AH123,AG123),AH123))</f>
        <v/>
      </c>
      <c r="AJ123" s="5" t="n"/>
    </row>
    <row r="124">
      <c r="A124" s="5" t="n"/>
      <c r="B124" s="5" t="n"/>
      <c r="C124" s="5" t="n"/>
      <c r="D124" s="5">
        <f>IF(AND(B124&lt;&gt;"",C124&lt;&gt;""),C124-B124+1,"")</f>
        <v/>
      </c>
      <c r="E124" s="5">
        <f>IF(B124&lt;&gt;"",YEAR(B124),"")</f>
        <v/>
      </c>
      <c r="F124" s="6" t="n"/>
      <c r="G124" s="6" t="n"/>
      <c r="H124" s="6" t="n"/>
      <c r="I124" s="5">
        <f>IF(H124="","",IFERROR(INDEX(Szabályok!$B$13:$B$200,MATCH(H124,Szabályok!$A$13:$A$200,0)),""))</f>
        <v/>
      </c>
      <c r="J124" s="5">
        <f>IF(H124="","",IFERROR(INDEX(Szabályok!$C$13:$C$200,MATCH(H124,Szabályok!$A$13:$A$200,0)),""))</f>
        <v/>
      </c>
      <c r="K124" s="5">
        <f>IF(H124="","",IFERROR(INDEX(Szabályok!$D$13:$D$200,MATCH(H124,Szabályok!$A$13:$A$200,0)),""))</f>
        <v/>
      </c>
      <c r="L124" s="5">
        <f>IF(H124="","",IFERROR(INDEX(Szabályok!$E$13:$E$200,MATCH(H124,Szabályok!$A$13:$A$200,0)),""))</f>
        <v/>
      </c>
      <c r="M124" s="5">
        <f>IF(H124="","",IFERROR(INDEX(Szabályok!$F$13:$F$200,MATCH(H124,Szabályok!$A$13:$A$200,0)),""))</f>
        <v/>
      </c>
      <c r="N124" s="5">
        <f>IF(H124="","",IFERROR(INDEX(Szabályok!$G$13:$G$200,MATCH(H124,Szabályok!$A$13:$A$200,0)),""))</f>
        <v/>
      </c>
      <c r="O124" s="5">
        <f>IF(H124="","",IFERROR(INDEX(Szabályok!$H$13:$H$200,MATCH(H124,Szabályok!$A$13:$A$200,0)),""))</f>
        <v/>
      </c>
      <c r="P124" s="5" t="n"/>
      <c r="Q124" s="6" t="n"/>
      <c r="R124" s="6" t="n"/>
      <c r="S124" s="6">
        <f>IF(COUNT(Q124:R124)=0,"",SUM(Q124:R124))</f>
        <v/>
      </c>
      <c r="T124" s="6" t="n"/>
      <c r="U124" s="5">
        <f>IF(T124="","",IF(L124&lt;&gt;"IGEN","IGEN",IF(S124&gt;=T124,"IGEN","NEM")))</f>
        <v/>
      </c>
      <c r="V124" s="5" t="n"/>
      <c r="W124" s="5" t="n"/>
      <c r="X124" s="5" t="n"/>
      <c r="Y124" s="5" t="n"/>
      <c r="Z124" s="5">
        <f>IF(X124="","",IF(COUNTIFS($X$5:$X$304,X124,$I$5:$I$304,"&lt;"&amp;I124)=0,I124,""))</f>
        <v/>
      </c>
      <c r="AA124" s="5">
        <f>IF(X124="","",IF(COUNTIFS($X$5:$X$304,X124,$I$5:$I$304,"&lt;"&amp;I124)&gt;0,"NEM",IF(COUNTIFS($X$5:$X$304,X124,$I$5:$I$304,I124)=1,"IGEN",IF(Y124=1,"IGEN","NEM"))))</f>
        <v/>
      </c>
      <c r="AB124" s="5">
        <f>IF(OR(I124="",J124=""),"",IF(OR(I124=0,V124="IGEN",W124="IGEN"),"X",IF(AND(K124&lt;&gt;"IGEN",L124="IGEN",U124="NEM"),"X",IF(AA124="IGEN",J124,"X"))))</f>
        <v/>
      </c>
      <c r="AC124" s="5">
        <f>IF(AB124="X",0,IF(D124="","",D124))</f>
        <v/>
      </c>
      <c r="AD124" s="5">
        <f>IF(AB124="X",IF(D124="","",D124),0)</f>
        <v/>
      </c>
      <c r="AE124" s="6" t="n"/>
      <c r="AF124" s="6">
        <f>IF(E124="","",SUMIFS($AI$5:AI124,$E$5:E124,E124)-AI124)</f>
        <v/>
      </c>
      <c r="AG124" s="6">
        <f>IF(AE124="","",MAX(0,AE124-AF124))</f>
        <v/>
      </c>
      <c r="AH124" s="6">
        <f>IF(S124="","",IF(OR(I124=0,V124="IGEN",W124="IGEN"),0,IF(AND(K124&lt;&gt;"IGEN",L124="IGEN",U124="NEM"),0,S124)))</f>
        <v/>
      </c>
      <c r="AI124" s="6">
        <f>IF(AH124="","",IF(M124="IGEN",MIN(AH124,AG124),AH124))</f>
        <v/>
      </c>
      <c r="AJ124" s="5" t="n"/>
    </row>
    <row r="125">
      <c r="A125" s="5" t="n"/>
      <c r="B125" s="5" t="n"/>
      <c r="C125" s="5" t="n"/>
      <c r="D125" s="5">
        <f>IF(AND(B125&lt;&gt;"",C125&lt;&gt;""),C125-B125+1,"")</f>
        <v/>
      </c>
      <c r="E125" s="5">
        <f>IF(B125&lt;&gt;"",YEAR(B125),"")</f>
        <v/>
      </c>
      <c r="F125" s="6" t="n"/>
      <c r="G125" s="6" t="n"/>
      <c r="H125" s="6" t="n"/>
      <c r="I125" s="5">
        <f>IF(H125="","",IFERROR(INDEX(Szabályok!$B$13:$B$200,MATCH(H125,Szabályok!$A$13:$A$200,0)),""))</f>
        <v/>
      </c>
      <c r="J125" s="5">
        <f>IF(H125="","",IFERROR(INDEX(Szabályok!$C$13:$C$200,MATCH(H125,Szabályok!$A$13:$A$200,0)),""))</f>
        <v/>
      </c>
      <c r="K125" s="5">
        <f>IF(H125="","",IFERROR(INDEX(Szabályok!$D$13:$D$200,MATCH(H125,Szabályok!$A$13:$A$200,0)),""))</f>
        <v/>
      </c>
      <c r="L125" s="5">
        <f>IF(H125="","",IFERROR(INDEX(Szabályok!$E$13:$E$200,MATCH(H125,Szabályok!$A$13:$A$200,0)),""))</f>
        <v/>
      </c>
      <c r="M125" s="5">
        <f>IF(H125="","",IFERROR(INDEX(Szabályok!$F$13:$F$200,MATCH(H125,Szabályok!$A$13:$A$200,0)),""))</f>
        <v/>
      </c>
      <c r="N125" s="5">
        <f>IF(H125="","",IFERROR(INDEX(Szabályok!$G$13:$G$200,MATCH(H125,Szabályok!$A$13:$A$200,0)),""))</f>
        <v/>
      </c>
      <c r="O125" s="5">
        <f>IF(H125="","",IFERROR(INDEX(Szabályok!$H$13:$H$200,MATCH(H125,Szabályok!$A$13:$A$200,0)),""))</f>
        <v/>
      </c>
      <c r="P125" s="5" t="n"/>
      <c r="Q125" s="6" t="n"/>
      <c r="R125" s="6" t="n"/>
      <c r="S125" s="6">
        <f>IF(COUNT(Q125:R125)=0,"",SUM(Q125:R125))</f>
        <v/>
      </c>
      <c r="T125" s="6" t="n"/>
      <c r="U125" s="5">
        <f>IF(T125="","",IF(L125&lt;&gt;"IGEN","IGEN",IF(S125&gt;=T125,"IGEN","NEM")))</f>
        <v/>
      </c>
      <c r="V125" s="5" t="n"/>
      <c r="W125" s="5" t="n"/>
      <c r="X125" s="5" t="n"/>
      <c r="Y125" s="5" t="n"/>
      <c r="Z125" s="5">
        <f>IF(X125="","",IF(COUNTIFS($X$5:$X$304,X125,$I$5:$I$304,"&lt;"&amp;I125)=0,I125,""))</f>
        <v/>
      </c>
      <c r="AA125" s="5">
        <f>IF(X125="","",IF(COUNTIFS($X$5:$X$304,X125,$I$5:$I$304,"&lt;"&amp;I125)&gt;0,"NEM",IF(COUNTIFS($X$5:$X$304,X125,$I$5:$I$304,I125)=1,"IGEN",IF(Y125=1,"IGEN","NEM"))))</f>
        <v/>
      </c>
      <c r="AB125" s="5">
        <f>IF(OR(I125="",J125=""),"",IF(OR(I125=0,V125="IGEN",W125="IGEN"),"X",IF(AND(K125&lt;&gt;"IGEN",L125="IGEN",U125="NEM"),"X",IF(AA125="IGEN",J125,"X"))))</f>
        <v/>
      </c>
      <c r="AC125" s="5">
        <f>IF(AB125="X",0,IF(D125="","",D125))</f>
        <v/>
      </c>
      <c r="AD125" s="5">
        <f>IF(AB125="X",IF(D125="","",D125),0)</f>
        <v/>
      </c>
      <c r="AE125" s="6" t="n"/>
      <c r="AF125" s="6">
        <f>IF(E125="","",SUMIFS($AI$5:AI125,$E$5:E125,E125)-AI125)</f>
        <v/>
      </c>
      <c r="AG125" s="6">
        <f>IF(AE125="","",MAX(0,AE125-AF125))</f>
        <v/>
      </c>
      <c r="AH125" s="6">
        <f>IF(S125="","",IF(OR(I125=0,V125="IGEN",W125="IGEN"),0,IF(AND(K125&lt;&gt;"IGEN",L125="IGEN",U125="NEM"),0,S125)))</f>
        <v/>
      </c>
      <c r="AI125" s="6">
        <f>IF(AH125="","",IF(M125="IGEN",MIN(AH125,AG125),AH125))</f>
        <v/>
      </c>
      <c r="AJ125" s="5" t="n"/>
    </row>
    <row r="126">
      <c r="A126" s="5" t="n"/>
      <c r="B126" s="5" t="n"/>
      <c r="C126" s="5" t="n"/>
      <c r="D126" s="5">
        <f>IF(AND(B126&lt;&gt;"",C126&lt;&gt;""),C126-B126+1,"")</f>
        <v/>
      </c>
      <c r="E126" s="5">
        <f>IF(B126&lt;&gt;"",YEAR(B126),"")</f>
        <v/>
      </c>
      <c r="F126" s="6" t="n"/>
      <c r="G126" s="6" t="n"/>
      <c r="H126" s="6" t="n"/>
      <c r="I126" s="5">
        <f>IF(H126="","",IFERROR(INDEX(Szabályok!$B$13:$B$200,MATCH(H126,Szabályok!$A$13:$A$200,0)),""))</f>
        <v/>
      </c>
      <c r="J126" s="5">
        <f>IF(H126="","",IFERROR(INDEX(Szabályok!$C$13:$C$200,MATCH(H126,Szabályok!$A$13:$A$200,0)),""))</f>
        <v/>
      </c>
      <c r="K126" s="5">
        <f>IF(H126="","",IFERROR(INDEX(Szabályok!$D$13:$D$200,MATCH(H126,Szabályok!$A$13:$A$200,0)),""))</f>
        <v/>
      </c>
      <c r="L126" s="5">
        <f>IF(H126="","",IFERROR(INDEX(Szabályok!$E$13:$E$200,MATCH(H126,Szabályok!$A$13:$A$200,0)),""))</f>
        <v/>
      </c>
      <c r="M126" s="5">
        <f>IF(H126="","",IFERROR(INDEX(Szabályok!$F$13:$F$200,MATCH(H126,Szabályok!$A$13:$A$200,0)),""))</f>
        <v/>
      </c>
      <c r="N126" s="5">
        <f>IF(H126="","",IFERROR(INDEX(Szabályok!$G$13:$G$200,MATCH(H126,Szabályok!$A$13:$A$200,0)),""))</f>
        <v/>
      </c>
      <c r="O126" s="5">
        <f>IF(H126="","",IFERROR(INDEX(Szabályok!$H$13:$H$200,MATCH(H126,Szabályok!$A$13:$A$200,0)),""))</f>
        <v/>
      </c>
      <c r="P126" s="5" t="n"/>
      <c r="Q126" s="6" t="n"/>
      <c r="R126" s="6" t="n"/>
      <c r="S126" s="6">
        <f>IF(COUNT(Q126:R126)=0,"",SUM(Q126:R126))</f>
        <v/>
      </c>
      <c r="T126" s="6" t="n"/>
      <c r="U126" s="5">
        <f>IF(T126="","",IF(L126&lt;&gt;"IGEN","IGEN",IF(S126&gt;=T126,"IGEN","NEM")))</f>
        <v/>
      </c>
      <c r="V126" s="5" t="n"/>
      <c r="W126" s="5" t="n"/>
      <c r="X126" s="5" t="n"/>
      <c r="Y126" s="5" t="n"/>
      <c r="Z126" s="5">
        <f>IF(X126="","",IF(COUNTIFS($X$5:$X$304,X126,$I$5:$I$304,"&lt;"&amp;I126)=0,I126,""))</f>
        <v/>
      </c>
      <c r="AA126" s="5">
        <f>IF(X126="","",IF(COUNTIFS($X$5:$X$304,X126,$I$5:$I$304,"&lt;"&amp;I126)&gt;0,"NEM",IF(COUNTIFS($X$5:$X$304,X126,$I$5:$I$304,I126)=1,"IGEN",IF(Y126=1,"IGEN","NEM"))))</f>
        <v/>
      </c>
      <c r="AB126" s="5">
        <f>IF(OR(I126="",J126=""),"",IF(OR(I126=0,V126="IGEN",W126="IGEN"),"X",IF(AND(K126&lt;&gt;"IGEN",L126="IGEN",U126="NEM"),"X",IF(AA126="IGEN",J126,"X"))))</f>
        <v/>
      </c>
      <c r="AC126" s="5">
        <f>IF(AB126="X",0,IF(D126="","",D126))</f>
        <v/>
      </c>
      <c r="AD126" s="5">
        <f>IF(AB126="X",IF(D126="","",D126),0)</f>
        <v/>
      </c>
      <c r="AE126" s="6" t="n"/>
      <c r="AF126" s="6">
        <f>IF(E126="","",SUMIFS($AI$5:AI126,$E$5:E126,E126)-AI126)</f>
        <v/>
      </c>
      <c r="AG126" s="6">
        <f>IF(AE126="","",MAX(0,AE126-AF126))</f>
        <v/>
      </c>
      <c r="AH126" s="6">
        <f>IF(S126="","",IF(OR(I126=0,V126="IGEN",W126="IGEN"),0,IF(AND(K126&lt;&gt;"IGEN",L126="IGEN",U126="NEM"),0,S126)))</f>
        <v/>
      </c>
      <c r="AI126" s="6">
        <f>IF(AH126="","",IF(M126="IGEN",MIN(AH126,AG126),AH126))</f>
        <v/>
      </c>
      <c r="AJ126" s="5" t="n"/>
    </row>
    <row r="127">
      <c r="A127" s="5" t="n"/>
      <c r="B127" s="5" t="n"/>
      <c r="C127" s="5" t="n"/>
      <c r="D127" s="5">
        <f>IF(AND(B127&lt;&gt;"",C127&lt;&gt;""),C127-B127+1,"")</f>
        <v/>
      </c>
      <c r="E127" s="5">
        <f>IF(B127&lt;&gt;"",YEAR(B127),"")</f>
        <v/>
      </c>
      <c r="F127" s="6" t="n"/>
      <c r="G127" s="6" t="n"/>
      <c r="H127" s="6" t="n"/>
      <c r="I127" s="5">
        <f>IF(H127="","",IFERROR(INDEX(Szabályok!$B$13:$B$200,MATCH(H127,Szabályok!$A$13:$A$200,0)),""))</f>
        <v/>
      </c>
      <c r="J127" s="5">
        <f>IF(H127="","",IFERROR(INDEX(Szabályok!$C$13:$C$200,MATCH(H127,Szabályok!$A$13:$A$200,0)),""))</f>
        <v/>
      </c>
      <c r="K127" s="5">
        <f>IF(H127="","",IFERROR(INDEX(Szabályok!$D$13:$D$200,MATCH(H127,Szabályok!$A$13:$A$200,0)),""))</f>
        <v/>
      </c>
      <c r="L127" s="5">
        <f>IF(H127="","",IFERROR(INDEX(Szabályok!$E$13:$E$200,MATCH(H127,Szabályok!$A$13:$A$200,0)),""))</f>
        <v/>
      </c>
      <c r="M127" s="5">
        <f>IF(H127="","",IFERROR(INDEX(Szabályok!$F$13:$F$200,MATCH(H127,Szabályok!$A$13:$A$200,0)),""))</f>
        <v/>
      </c>
      <c r="N127" s="5">
        <f>IF(H127="","",IFERROR(INDEX(Szabályok!$G$13:$G$200,MATCH(H127,Szabályok!$A$13:$A$200,0)),""))</f>
        <v/>
      </c>
      <c r="O127" s="5">
        <f>IF(H127="","",IFERROR(INDEX(Szabályok!$H$13:$H$200,MATCH(H127,Szabályok!$A$13:$A$200,0)),""))</f>
        <v/>
      </c>
      <c r="P127" s="5" t="n"/>
      <c r="Q127" s="6" t="n"/>
      <c r="R127" s="6" t="n"/>
      <c r="S127" s="6">
        <f>IF(COUNT(Q127:R127)=0,"",SUM(Q127:R127))</f>
        <v/>
      </c>
      <c r="T127" s="6" t="n"/>
      <c r="U127" s="5">
        <f>IF(T127="","",IF(L127&lt;&gt;"IGEN","IGEN",IF(S127&gt;=T127,"IGEN","NEM")))</f>
        <v/>
      </c>
      <c r="V127" s="5" t="n"/>
      <c r="W127" s="5" t="n"/>
      <c r="X127" s="5" t="n"/>
      <c r="Y127" s="5" t="n"/>
      <c r="Z127" s="5">
        <f>IF(X127="","",IF(COUNTIFS($X$5:$X$304,X127,$I$5:$I$304,"&lt;"&amp;I127)=0,I127,""))</f>
        <v/>
      </c>
      <c r="AA127" s="5">
        <f>IF(X127="","",IF(COUNTIFS($X$5:$X$304,X127,$I$5:$I$304,"&lt;"&amp;I127)&gt;0,"NEM",IF(COUNTIFS($X$5:$X$304,X127,$I$5:$I$304,I127)=1,"IGEN",IF(Y127=1,"IGEN","NEM"))))</f>
        <v/>
      </c>
      <c r="AB127" s="5">
        <f>IF(OR(I127="",J127=""),"",IF(OR(I127=0,V127="IGEN",W127="IGEN"),"X",IF(AND(K127&lt;&gt;"IGEN",L127="IGEN",U127="NEM"),"X",IF(AA127="IGEN",J127,"X"))))</f>
        <v/>
      </c>
      <c r="AC127" s="5">
        <f>IF(AB127="X",0,IF(D127="","",D127))</f>
        <v/>
      </c>
      <c r="AD127" s="5">
        <f>IF(AB127="X",IF(D127="","",D127),0)</f>
        <v/>
      </c>
      <c r="AE127" s="6" t="n"/>
      <c r="AF127" s="6">
        <f>IF(E127="","",SUMIFS($AI$5:AI127,$E$5:E127,E127)-AI127)</f>
        <v/>
      </c>
      <c r="AG127" s="6">
        <f>IF(AE127="","",MAX(0,AE127-AF127))</f>
        <v/>
      </c>
      <c r="AH127" s="6">
        <f>IF(S127="","",IF(OR(I127=0,V127="IGEN",W127="IGEN"),0,IF(AND(K127&lt;&gt;"IGEN",L127="IGEN",U127="NEM"),0,S127)))</f>
        <v/>
      </c>
      <c r="AI127" s="6">
        <f>IF(AH127="","",IF(M127="IGEN",MIN(AH127,AG127),AH127))</f>
        <v/>
      </c>
      <c r="AJ127" s="5" t="n"/>
    </row>
    <row r="128">
      <c r="A128" s="5" t="n"/>
      <c r="B128" s="5" t="n"/>
      <c r="C128" s="5" t="n"/>
      <c r="D128" s="5">
        <f>IF(AND(B128&lt;&gt;"",C128&lt;&gt;""),C128-B128+1,"")</f>
        <v/>
      </c>
      <c r="E128" s="5">
        <f>IF(B128&lt;&gt;"",YEAR(B128),"")</f>
        <v/>
      </c>
      <c r="F128" s="6" t="n"/>
      <c r="G128" s="6" t="n"/>
      <c r="H128" s="6" t="n"/>
      <c r="I128" s="5">
        <f>IF(H128="","",IFERROR(INDEX(Szabályok!$B$13:$B$200,MATCH(H128,Szabályok!$A$13:$A$200,0)),""))</f>
        <v/>
      </c>
      <c r="J128" s="5">
        <f>IF(H128="","",IFERROR(INDEX(Szabályok!$C$13:$C$200,MATCH(H128,Szabályok!$A$13:$A$200,0)),""))</f>
        <v/>
      </c>
      <c r="K128" s="5">
        <f>IF(H128="","",IFERROR(INDEX(Szabályok!$D$13:$D$200,MATCH(H128,Szabályok!$A$13:$A$200,0)),""))</f>
        <v/>
      </c>
      <c r="L128" s="5">
        <f>IF(H128="","",IFERROR(INDEX(Szabályok!$E$13:$E$200,MATCH(H128,Szabályok!$A$13:$A$200,0)),""))</f>
        <v/>
      </c>
      <c r="M128" s="5">
        <f>IF(H128="","",IFERROR(INDEX(Szabályok!$F$13:$F$200,MATCH(H128,Szabályok!$A$13:$A$200,0)),""))</f>
        <v/>
      </c>
      <c r="N128" s="5">
        <f>IF(H128="","",IFERROR(INDEX(Szabályok!$G$13:$G$200,MATCH(H128,Szabályok!$A$13:$A$200,0)),""))</f>
        <v/>
      </c>
      <c r="O128" s="5">
        <f>IF(H128="","",IFERROR(INDEX(Szabályok!$H$13:$H$200,MATCH(H128,Szabályok!$A$13:$A$200,0)),""))</f>
        <v/>
      </c>
      <c r="P128" s="5" t="n"/>
      <c r="Q128" s="6" t="n"/>
      <c r="R128" s="6" t="n"/>
      <c r="S128" s="6">
        <f>IF(COUNT(Q128:R128)=0,"",SUM(Q128:R128))</f>
        <v/>
      </c>
      <c r="T128" s="6" t="n"/>
      <c r="U128" s="5">
        <f>IF(T128="","",IF(L128&lt;&gt;"IGEN","IGEN",IF(S128&gt;=T128,"IGEN","NEM")))</f>
        <v/>
      </c>
      <c r="V128" s="5" t="n"/>
      <c r="W128" s="5" t="n"/>
      <c r="X128" s="5" t="n"/>
      <c r="Y128" s="5" t="n"/>
      <c r="Z128" s="5">
        <f>IF(X128="","",IF(COUNTIFS($X$5:$X$304,X128,$I$5:$I$304,"&lt;"&amp;I128)=0,I128,""))</f>
        <v/>
      </c>
      <c r="AA128" s="5">
        <f>IF(X128="","",IF(COUNTIFS($X$5:$X$304,X128,$I$5:$I$304,"&lt;"&amp;I128)&gt;0,"NEM",IF(COUNTIFS($X$5:$X$304,X128,$I$5:$I$304,I128)=1,"IGEN",IF(Y128=1,"IGEN","NEM"))))</f>
        <v/>
      </c>
      <c r="AB128" s="5">
        <f>IF(OR(I128="",J128=""),"",IF(OR(I128=0,V128="IGEN",W128="IGEN"),"X",IF(AND(K128&lt;&gt;"IGEN",L128="IGEN",U128="NEM"),"X",IF(AA128="IGEN",J128,"X"))))</f>
        <v/>
      </c>
      <c r="AC128" s="5">
        <f>IF(AB128="X",0,IF(D128="","",D128))</f>
        <v/>
      </c>
      <c r="AD128" s="5">
        <f>IF(AB128="X",IF(D128="","",D128),0)</f>
        <v/>
      </c>
      <c r="AE128" s="6" t="n"/>
      <c r="AF128" s="6">
        <f>IF(E128="","",SUMIFS($AI$5:AI128,$E$5:E128,E128)-AI128)</f>
        <v/>
      </c>
      <c r="AG128" s="6">
        <f>IF(AE128="","",MAX(0,AE128-AF128))</f>
        <v/>
      </c>
      <c r="AH128" s="6">
        <f>IF(S128="","",IF(OR(I128=0,V128="IGEN",W128="IGEN"),0,IF(AND(K128&lt;&gt;"IGEN",L128="IGEN",U128="NEM"),0,S128)))</f>
        <v/>
      </c>
      <c r="AI128" s="6">
        <f>IF(AH128="","",IF(M128="IGEN",MIN(AH128,AG128),AH128))</f>
        <v/>
      </c>
      <c r="AJ128" s="5" t="n"/>
    </row>
    <row r="129">
      <c r="A129" s="5" t="n"/>
      <c r="B129" s="5" t="n"/>
      <c r="C129" s="5" t="n"/>
      <c r="D129" s="5">
        <f>IF(AND(B129&lt;&gt;"",C129&lt;&gt;""),C129-B129+1,"")</f>
        <v/>
      </c>
      <c r="E129" s="5">
        <f>IF(B129&lt;&gt;"",YEAR(B129),"")</f>
        <v/>
      </c>
      <c r="F129" s="6" t="n"/>
      <c r="G129" s="6" t="n"/>
      <c r="H129" s="6" t="n"/>
      <c r="I129" s="5">
        <f>IF(H129="","",IFERROR(INDEX(Szabályok!$B$13:$B$200,MATCH(H129,Szabályok!$A$13:$A$200,0)),""))</f>
        <v/>
      </c>
      <c r="J129" s="5">
        <f>IF(H129="","",IFERROR(INDEX(Szabályok!$C$13:$C$200,MATCH(H129,Szabályok!$A$13:$A$200,0)),""))</f>
        <v/>
      </c>
      <c r="K129" s="5">
        <f>IF(H129="","",IFERROR(INDEX(Szabályok!$D$13:$D$200,MATCH(H129,Szabályok!$A$13:$A$200,0)),""))</f>
        <v/>
      </c>
      <c r="L129" s="5">
        <f>IF(H129="","",IFERROR(INDEX(Szabályok!$E$13:$E$200,MATCH(H129,Szabályok!$A$13:$A$200,0)),""))</f>
        <v/>
      </c>
      <c r="M129" s="5">
        <f>IF(H129="","",IFERROR(INDEX(Szabályok!$F$13:$F$200,MATCH(H129,Szabályok!$A$13:$A$200,0)),""))</f>
        <v/>
      </c>
      <c r="N129" s="5">
        <f>IF(H129="","",IFERROR(INDEX(Szabályok!$G$13:$G$200,MATCH(H129,Szabályok!$A$13:$A$200,0)),""))</f>
        <v/>
      </c>
      <c r="O129" s="5">
        <f>IF(H129="","",IFERROR(INDEX(Szabályok!$H$13:$H$200,MATCH(H129,Szabályok!$A$13:$A$200,0)),""))</f>
        <v/>
      </c>
      <c r="P129" s="5" t="n"/>
      <c r="Q129" s="6" t="n"/>
      <c r="R129" s="6" t="n"/>
      <c r="S129" s="6">
        <f>IF(COUNT(Q129:R129)=0,"",SUM(Q129:R129))</f>
        <v/>
      </c>
      <c r="T129" s="6" t="n"/>
      <c r="U129" s="5">
        <f>IF(T129="","",IF(L129&lt;&gt;"IGEN","IGEN",IF(S129&gt;=T129,"IGEN","NEM")))</f>
        <v/>
      </c>
      <c r="V129" s="5" t="n"/>
      <c r="W129" s="5" t="n"/>
      <c r="X129" s="5" t="n"/>
      <c r="Y129" s="5" t="n"/>
      <c r="Z129" s="5">
        <f>IF(X129="","",IF(COUNTIFS($X$5:$X$304,X129,$I$5:$I$304,"&lt;"&amp;I129)=0,I129,""))</f>
        <v/>
      </c>
      <c r="AA129" s="5">
        <f>IF(X129="","",IF(COUNTIFS($X$5:$X$304,X129,$I$5:$I$304,"&lt;"&amp;I129)&gt;0,"NEM",IF(COUNTIFS($X$5:$X$304,X129,$I$5:$I$304,I129)=1,"IGEN",IF(Y129=1,"IGEN","NEM"))))</f>
        <v/>
      </c>
      <c r="AB129" s="5">
        <f>IF(OR(I129="",J129=""),"",IF(OR(I129=0,V129="IGEN",W129="IGEN"),"X",IF(AND(K129&lt;&gt;"IGEN",L129="IGEN",U129="NEM"),"X",IF(AA129="IGEN",J129,"X"))))</f>
        <v/>
      </c>
      <c r="AC129" s="5">
        <f>IF(AB129="X",0,IF(D129="","",D129))</f>
        <v/>
      </c>
      <c r="AD129" s="5">
        <f>IF(AB129="X",IF(D129="","",D129),0)</f>
        <v/>
      </c>
      <c r="AE129" s="6" t="n"/>
      <c r="AF129" s="6">
        <f>IF(E129="","",SUMIFS($AI$5:AI129,$E$5:E129,E129)-AI129)</f>
        <v/>
      </c>
      <c r="AG129" s="6">
        <f>IF(AE129="","",MAX(0,AE129-AF129))</f>
        <v/>
      </c>
      <c r="AH129" s="6">
        <f>IF(S129="","",IF(OR(I129=0,V129="IGEN",W129="IGEN"),0,IF(AND(K129&lt;&gt;"IGEN",L129="IGEN",U129="NEM"),0,S129)))</f>
        <v/>
      </c>
      <c r="AI129" s="6">
        <f>IF(AH129="","",IF(M129="IGEN",MIN(AH129,AG129),AH129))</f>
        <v/>
      </c>
      <c r="AJ129" s="5" t="n"/>
    </row>
    <row r="130">
      <c r="A130" s="5" t="n"/>
      <c r="B130" s="5" t="n"/>
      <c r="C130" s="5" t="n"/>
      <c r="D130" s="5">
        <f>IF(AND(B130&lt;&gt;"",C130&lt;&gt;""),C130-B130+1,"")</f>
        <v/>
      </c>
      <c r="E130" s="5">
        <f>IF(B130&lt;&gt;"",YEAR(B130),"")</f>
        <v/>
      </c>
      <c r="F130" s="6" t="n"/>
      <c r="G130" s="6" t="n"/>
      <c r="H130" s="6" t="n"/>
      <c r="I130" s="5">
        <f>IF(H130="","",IFERROR(INDEX(Szabályok!$B$13:$B$200,MATCH(H130,Szabályok!$A$13:$A$200,0)),""))</f>
        <v/>
      </c>
      <c r="J130" s="5">
        <f>IF(H130="","",IFERROR(INDEX(Szabályok!$C$13:$C$200,MATCH(H130,Szabályok!$A$13:$A$200,0)),""))</f>
        <v/>
      </c>
      <c r="K130" s="5">
        <f>IF(H130="","",IFERROR(INDEX(Szabályok!$D$13:$D$200,MATCH(H130,Szabályok!$A$13:$A$200,0)),""))</f>
        <v/>
      </c>
      <c r="L130" s="5">
        <f>IF(H130="","",IFERROR(INDEX(Szabályok!$E$13:$E$200,MATCH(H130,Szabályok!$A$13:$A$200,0)),""))</f>
        <v/>
      </c>
      <c r="M130" s="5">
        <f>IF(H130="","",IFERROR(INDEX(Szabályok!$F$13:$F$200,MATCH(H130,Szabályok!$A$13:$A$200,0)),""))</f>
        <v/>
      </c>
      <c r="N130" s="5">
        <f>IF(H130="","",IFERROR(INDEX(Szabályok!$G$13:$G$200,MATCH(H130,Szabályok!$A$13:$A$200,0)),""))</f>
        <v/>
      </c>
      <c r="O130" s="5">
        <f>IF(H130="","",IFERROR(INDEX(Szabályok!$H$13:$H$200,MATCH(H130,Szabályok!$A$13:$A$200,0)),""))</f>
        <v/>
      </c>
      <c r="P130" s="5" t="n"/>
      <c r="Q130" s="6" t="n"/>
      <c r="R130" s="6" t="n"/>
      <c r="S130" s="6">
        <f>IF(COUNT(Q130:R130)=0,"",SUM(Q130:R130))</f>
        <v/>
      </c>
      <c r="T130" s="6" t="n"/>
      <c r="U130" s="5">
        <f>IF(T130="","",IF(L130&lt;&gt;"IGEN","IGEN",IF(S130&gt;=T130,"IGEN","NEM")))</f>
        <v/>
      </c>
      <c r="V130" s="5" t="n"/>
      <c r="W130" s="5" t="n"/>
      <c r="X130" s="5" t="n"/>
      <c r="Y130" s="5" t="n"/>
      <c r="Z130" s="5">
        <f>IF(X130="","",IF(COUNTIFS($X$5:$X$304,X130,$I$5:$I$304,"&lt;"&amp;I130)=0,I130,""))</f>
        <v/>
      </c>
      <c r="AA130" s="5">
        <f>IF(X130="","",IF(COUNTIFS($X$5:$X$304,X130,$I$5:$I$304,"&lt;"&amp;I130)&gt;0,"NEM",IF(COUNTIFS($X$5:$X$304,X130,$I$5:$I$304,I130)=1,"IGEN",IF(Y130=1,"IGEN","NEM"))))</f>
        <v/>
      </c>
      <c r="AB130" s="5">
        <f>IF(OR(I130="",J130=""),"",IF(OR(I130=0,V130="IGEN",W130="IGEN"),"X",IF(AND(K130&lt;&gt;"IGEN",L130="IGEN",U130="NEM"),"X",IF(AA130="IGEN",J130,"X"))))</f>
        <v/>
      </c>
      <c r="AC130" s="5">
        <f>IF(AB130="X",0,IF(D130="","",D130))</f>
        <v/>
      </c>
      <c r="AD130" s="5">
        <f>IF(AB130="X",IF(D130="","",D130),0)</f>
        <v/>
      </c>
      <c r="AE130" s="6" t="n"/>
      <c r="AF130" s="6">
        <f>IF(E130="","",SUMIFS($AI$5:AI130,$E$5:E130,E130)-AI130)</f>
        <v/>
      </c>
      <c r="AG130" s="6">
        <f>IF(AE130="","",MAX(0,AE130-AF130))</f>
        <v/>
      </c>
      <c r="AH130" s="6">
        <f>IF(S130="","",IF(OR(I130=0,V130="IGEN",W130="IGEN"),0,IF(AND(K130&lt;&gt;"IGEN",L130="IGEN",U130="NEM"),0,S130)))</f>
        <v/>
      </c>
      <c r="AI130" s="6">
        <f>IF(AH130="","",IF(M130="IGEN",MIN(AH130,AG130),AH130))</f>
        <v/>
      </c>
      <c r="AJ130" s="5" t="n"/>
    </row>
    <row r="131">
      <c r="A131" s="5" t="n"/>
      <c r="B131" s="5" t="n"/>
      <c r="C131" s="5" t="n"/>
      <c r="D131" s="5">
        <f>IF(AND(B131&lt;&gt;"",C131&lt;&gt;""),C131-B131+1,"")</f>
        <v/>
      </c>
      <c r="E131" s="5">
        <f>IF(B131&lt;&gt;"",YEAR(B131),"")</f>
        <v/>
      </c>
      <c r="F131" s="6" t="n"/>
      <c r="G131" s="6" t="n"/>
      <c r="H131" s="6" t="n"/>
      <c r="I131" s="5">
        <f>IF(H131="","",IFERROR(INDEX(Szabályok!$B$13:$B$200,MATCH(H131,Szabályok!$A$13:$A$200,0)),""))</f>
        <v/>
      </c>
      <c r="J131" s="5">
        <f>IF(H131="","",IFERROR(INDEX(Szabályok!$C$13:$C$200,MATCH(H131,Szabályok!$A$13:$A$200,0)),""))</f>
        <v/>
      </c>
      <c r="K131" s="5">
        <f>IF(H131="","",IFERROR(INDEX(Szabályok!$D$13:$D$200,MATCH(H131,Szabályok!$A$13:$A$200,0)),""))</f>
        <v/>
      </c>
      <c r="L131" s="5">
        <f>IF(H131="","",IFERROR(INDEX(Szabályok!$E$13:$E$200,MATCH(H131,Szabályok!$A$13:$A$200,0)),""))</f>
        <v/>
      </c>
      <c r="M131" s="5">
        <f>IF(H131="","",IFERROR(INDEX(Szabályok!$F$13:$F$200,MATCH(H131,Szabályok!$A$13:$A$200,0)),""))</f>
        <v/>
      </c>
      <c r="N131" s="5">
        <f>IF(H131="","",IFERROR(INDEX(Szabályok!$G$13:$G$200,MATCH(H131,Szabályok!$A$13:$A$200,0)),""))</f>
        <v/>
      </c>
      <c r="O131" s="5">
        <f>IF(H131="","",IFERROR(INDEX(Szabályok!$H$13:$H$200,MATCH(H131,Szabályok!$A$13:$A$200,0)),""))</f>
        <v/>
      </c>
      <c r="P131" s="5" t="n"/>
      <c r="Q131" s="6" t="n"/>
      <c r="R131" s="6" t="n"/>
      <c r="S131" s="6">
        <f>IF(COUNT(Q131:R131)=0,"",SUM(Q131:R131))</f>
        <v/>
      </c>
      <c r="T131" s="6" t="n"/>
      <c r="U131" s="5">
        <f>IF(T131="","",IF(L131&lt;&gt;"IGEN","IGEN",IF(S131&gt;=T131,"IGEN","NEM")))</f>
        <v/>
      </c>
      <c r="V131" s="5" t="n"/>
      <c r="W131" s="5" t="n"/>
      <c r="X131" s="5" t="n"/>
      <c r="Y131" s="5" t="n"/>
      <c r="Z131" s="5">
        <f>IF(X131="","",IF(COUNTIFS($X$5:$X$304,X131,$I$5:$I$304,"&lt;"&amp;I131)=0,I131,""))</f>
        <v/>
      </c>
      <c r="AA131" s="5">
        <f>IF(X131="","",IF(COUNTIFS($X$5:$X$304,X131,$I$5:$I$304,"&lt;"&amp;I131)&gt;0,"NEM",IF(COUNTIFS($X$5:$X$304,X131,$I$5:$I$304,I131)=1,"IGEN",IF(Y131=1,"IGEN","NEM"))))</f>
        <v/>
      </c>
      <c r="AB131" s="5">
        <f>IF(OR(I131="",J131=""),"",IF(OR(I131=0,V131="IGEN",W131="IGEN"),"X",IF(AND(K131&lt;&gt;"IGEN",L131="IGEN",U131="NEM"),"X",IF(AA131="IGEN",J131,"X"))))</f>
        <v/>
      </c>
      <c r="AC131" s="5">
        <f>IF(AB131="X",0,IF(D131="","",D131))</f>
        <v/>
      </c>
      <c r="AD131" s="5">
        <f>IF(AB131="X",IF(D131="","",D131),0)</f>
        <v/>
      </c>
      <c r="AE131" s="6" t="n"/>
      <c r="AF131" s="6">
        <f>IF(E131="","",SUMIFS($AI$5:AI131,$E$5:E131,E131)-AI131)</f>
        <v/>
      </c>
      <c r="AG131" s="6">
        <f>IF(AE131="","",MAX(0,AE131-AF131))</f>
        <v/>
      </c>
      <c r="AH131" s="6">
        <f>IF(S131="","",IF(OR(I131=0,V131="IGEN",W131="IGEN"),0,IF(AND(K131&lt;&gt;"IGEN",L131="IGEN",U131="NEM"),0,S131)))</f>
        <v/>
      </c>
      <c r="AI131" s="6">
        <f>IF(AH131="","",IF(M131="IGEN",MIN(AH131,AG131),AH131))</f>
        <v/>
      </c>
      <c r="AJ131" s="5" t="n"/>
    </row>
    <row r="132">
      <c r="A132" s="5" t="n"/>
      <c r="B132" s="5" t="n"/>
      <c r="C132" s="5" t="n"/>
      <c r="D132" s="5">
        <f>IF(AND(B132&lt;&gt;"",C132&lt;&gt;""),C132-B132+1,"")</f>
        <v/>
      </c>
      <c r="E132" s="5">
        <f>IF(B132&lt;&gt;"",YEAR(B132),"")</f>
        <v/>
      </c>
      <c r="F132" s="6" t="n"/>
      <c r="G132" s="6" t="n"/>
      <c r="H132" s="6" t="n"/>
      <c r="I132" s="5">
        <f>IF(H132="","",IFERROR(INDEX(Szabályok!$B$13:$B$200,MATCH(H132,Szabályok!$A$13:$A$200,0)),""))</f>
        <v/>
      </c>
      <c r="J132" s="5">
        <f>IF(H132="","",IFERROR(INDEX(Szabályok!$C$13:$C$200,MATCH(H132,Szabályok!$A$13:$A$200,0)),""))</f>
        <v/>
      </c>
      <c r="K132" s="5">
        <f>IF(H132="","",IFERROR(INDEX(Szabályok!$D$13:$D$200,MATCH(H132,Szabályok!$A$13:$A$200,0)),""))</f>
        <v/>
      </c>
      <c r="L132" s="5">
        <f>IF(H132="","",IFERROR(INDEX(Szabályok!$E$13:$E$200,MATCH(H132,Szabályok!$A$13:$A$200,0)),""))</f>
        <v/>
      </c>
      <c r="M132" s="5">
        <f>IF(H132="","",IFERROR(INDEX(Szabályok!$F$13:$F$200,MATCH(H132,Szabályok!$A$13:$A$200,0)),""))</f>
        <v/>
      </c>
      <c r="N132" s="5">
        <f>IF(H132="","",IFERROR(INDEX(Szabályok!$G$13:$G$200,MATCH(H132,Szabályok!$A$13:$A$200,0)),""))</f>
        <v/>
      </c>
      <c r="O132" s="5">
        <f>IF(H132="","",IFERROR(INDEX(Szabályok!$H$13:$H$200,MATCH(H132,Szabályok!$A$13:$A$200,0)),""))</f>
        <v/>
      </c>
      <c r="P132" s="5" t="n"/>
      <c r="Q132" s="6" t="n"/>
      <c r="R132" s="6" t="n"/>
      <c r="S132" s="6">
        <f>IF(COUNT(Q132:R132)=0,"",SUM(Q132:R132))</f>
        <v/>
      </c>
      <c r="T132" s="6" t="n"/>
      <c r="U132" s="5">
        <f>IF(T132="","",IF(L132&lt;&gt;"IGEN","IGEN",IF(S132&gt;=T132,"IGEN","NEM")))</f>
        <v/>
      </c>
      <c r="V132" s="5" t="n"/>
      <c r="W132" s="5" t="n"/>
      <c r="X132" s="5" t="n"/>
      <c r="Y132" s="5" t="n"/>
      <c r="Z132" s="5">
        <f>IF(X132="","",IF(COUNTIFS($X$5:$X$304,X132,$I$5:$I$304,"&lt;"&amp;I132)=0,I132,""))</f>
        <v/>
      </c>
      <c r="AA132" s="5">
        <f>IF(X132="","",IF(COUNTIFS($X$5:$X$304,X132,$I$5:$I$304,"&lt;"&amp;I132)&gt;0,"NEM",IF(COUNTIFS($X$5:$X$304,X132,$I$5:$I$304,I132)=1,"IGEN",IF(Y132=1,"IGEN","NEM"))))</f>
        <v/>
      </c>
      <c r="AB132" s="5">
        <f>IF(OR(I132="",J132=""),"",IF(OR(I132=0,V132="IGEN",W132="IGEN"),"X",IF(AND(K132&lt;&gt;"IGEN",L132="IGEN",U132="NEM"),"X",IF(AA132="IGEN",J132,"X"))))</f>
        <v/>
      </c>
      <c r="AC132" s="5">
        <f>IF(AB132="X",0,IF(D132="","",D132))</f>
        <v/>
      </c>
      <c r="AD132" s="5">
        <f>IF(AB132="X",IF(D132="","",D132),0)</f>
        <v/>
      </c>
      <c r="AE132" s="6" t="n"/>
      <c r="AF132" s="6">
        <f>IF(E132="","",SUMIFS($AI$5:AI132,$E$5:E132,E132)-AI132)</f>
        <v/>
      </c>
      <c r="AG132" s="6">
        <f>IF(AE132="","",MAX(0,AE132-AF132))</f>
        <v/>
      </c>
      <c r="AH132" s="6">
        <f>IF(S132="","",IF(OR(I132=0,V132="IGEN",W132="IGEN"),0,IF(AND(K132&lt;&gt;"IGEN",L132="IGEN",U132="NEM"),0,S132)))</f>
        <v/>
      </c>
      <c r="AI132" s="6">
        <f>IF(AH132="","",IF(M132="IGEN",MIN(AH132,AG132),AH132))</f>
        <v/>
      </c>
      <c r="AJ132" s="5" t="n"/>
    </row>
    <row r="133">
      <c r="A133" s="5" t="n"/>
      <c r="B133" s="5" t="n"/>
      <c r="C133" s="5" t="n"/>
      <c r="D133" s="5">
        <f>IF(AND(B133&lt;&gt;"",C133&lt;&gt;""),C133-B133+1,"")</f>
        <v/>
      </c>
      <c r="E133" s="5">
        <f>IF(B133&lt;&gt;"",YEAR(B133),"")</f>
        <v/>
      </c>
      <c r="F133" s="6" t="n"/>
      <c r="G133" s="6" t="n"/>
      <c r="H133" s="6" t="n"/>
      <c r="I133" s="5">
        <f>IF(H133="","",IFERROR(INDEX(Szabályok!$B$13:$B$200,MATCH(H133,Szabályok!$A$13:$A$200,0)),""))</f>
        <v/>
      </c>
      <c r="J133" s="5">
        <f>IF(H133="","",IFERROR(INDEX(Szabályok!$C$13:$C$200,MATCH(H133,Szabályok!$A$13:$A$200,0)),""))</f>
        <v/>
      </c>
      <c r="K133" s="5">
        <f>IF(H133="","",IFERROR(INDEX(Szabályok!$D$13:$D$200,MATCH(H133,Szabályok!$A$13:$A$200,0)),""))</f>
        <v/>
      </c>
      <c r="L133" s="5">
        <f>IF(H133="","",IFERROR(INDEX(Szabályok!$E$13:$E$200,MATCH(H133,Szabályok!$A$13:$A$200,0)),""))</f>
        <v/>
      </c>
      <c r="M133" s="5">
        <f>IF(H133="","",IFERROR(INDEX(Szabályok!$F$13:$F$200,MATCH(H133,Szabályok!$A$13:$A$200,0)),""))</f>
        <v/>
      </c>
      <c r="N133" s="5">
        <f>IF(H133="","",IFERROR(INDEX(Szabályok!$G$13:$G$200,MATCH(H133,Szabályok!$A$13:$A$200,0)),""))</f>
        <v/>
      </c>
      <c r="O133" s="5">
        <f>IF(H133="","",IFERROR(INDEX(Szabályok!$H$13:$H$200,MATCH(H133,Szabályok!$A$13:$A$200,0)),""))</f>
        <v/>
      </c>
      <c r="P133" s="5" t="n"/>
      <c r="Q133" s="6" t="n"/>
      <c r="R133" s="6" t="n"/>
      <c r="S133" s="6">
        <f>IF(COUNT(Q133:R133)=0,"",SUM(Q133:R133))</f>
        <v/>
      </c>
      <c r="T133" s="6" t="n"/>
      <c r="U133" s="5">
        <f>IF(T133="","",IF(L133&lt;&gt;"IGEN","IGEN",IF(S133&gt;=T133,"IGEN","NEM")))</f>
        <v/>
      </c>
      <c r="V133" s="5" t="n"/>
      <c r="W133" s="5" t="n"/>
      <c r="X133" s="5" t="n"/>
      <c r="Y133" s="5" t="n"/>
      <c r="Z133" s="5">
        <f>IF(X133="","",IF(COUNTIFS($X$5:$X$304,X133,$I$5:$I$304,"&lt;"&amp;I133)=0,I133,""))</f>
        <v/>
      </c>
      <c r="AA133" s="5">
        <f>IF(X133="","",IF(COUNTIFS($X$5:$X$304,X133,$I$5:$I$304,"&lt;"&amp;I133)&gt;0,"NEM",IF(COUNTIFS($X$5:$X$304,X133,$I$5:$I$304,I133)=1,"IGEN",IF(Y133=1,"IGEN","NEM"))))</f>
        <v/>
      </c>
      <c r="AB133" s="5">
        <f>IF(OR(I133="",J133=""),"",IF(OR(I133=0,V133="IGEN",W133="IGEN"),"X",IF(AND(K133&lt;&gt;"IGEN",L133="IGEN",U133="NEM"),"X",IF(AA133="IGEN",J133,"X"))))</f>
        <v/>
      </c>
      <c r="AC133" s="5">
        <f>IF(AB133="X",0,IF(D133="","",D133))</f>
        <v/>
      </c>
      <c r="AD133" s="5">
        <f>IF(AB133="X",IF(D133="","",D133),0)</f>
        <v/>
      </c>
      <c r="AE133" s="6" t="n"/>
      <c r="AF133" s="6">
        <f>IF(E133="","",SUMIFS($AI$5:AI133,$E$5:E133,E133)-AI133)</f>
        <v/>
      </c>
      <c r="AG133" s="6">
        <f>IF(AE133="","",MAX(0,AE133-AF133))</f>
        <v/>
      </c>
      <c r="AH133" s="6">
        <f>IF(S133="","",IF(OR(I133=0,V133="IGEN",W133="IGEN"),0,IF(AND(K133&lt;&gt;"IGEN",L133="IGEN",U133="NEM"),0,S133)))</f>
        <v/>
      </c>
      <c r="AI133" s="6">
        <f>IF(AH133="","",IF(M133="IGEN",MIN(AH133,AG133),AH133))</f>
        <v/>
      </c>
      <c r="AJ133" s="5" t="n"/>
    </row>
    <row r="134">
      <c r="A134" s="5" t="n"/>
      <c r="B134" s="5" t="n"/>
      <c r="C134" s="5" t="n"/>
      <c r="D134" s="5">
        <f>IF(AND(B134&lt;&gt;"",C134&lt;&gt;""),C134-B134+1,"")</f>
        <v/>
      </c>
      <c r="E134" s="5">
        <f>IF(B134&lt;&gt;"",YEAR(B134),"")</f>
        <v/>
      </c>
      <c r="F134" s="6" t="n"/>
      <c r="G134" s="6" t="n"/>
      <c r="H134" s="6" t="n"/>
      <c r="I134" s="5">
        <f>IF(H134="","",IFERROR(INDEX(Szabályok!$B$13:$B$200,MATCH(H134,Szabályok!$A$13:$A$200,0)),""))</f>
        <v/>
      </c>
      <c r="J134" s="5">
        <f>IF(H134="","",IFERROR(INDEX(Szabályok!$C$13:$C$200,MATCH(H134,Szabályok!$A$13:$A$200,0)),""))</f>
        <v/>
      </c>
      <c r="K134" s="5">
        <f>IF(H134="","",IFERROR(INDEX(Szabályok!$D$13:$D$200,MATCH(H134,Szabályok!$A$13:$A$200,0)),""))</f>
        <v/>
      </c>
      <c r="L134" s="5">
        <f>IF(H134="","",IFERROR(INDEX(Szabályok!$E$13:$E$200,MATCH(H134,Szabályok!$A$13:$A$200,0)),""))</f>
        <v/>
      </c>
      <c r="M134" s="5">
        <f>IF(H134="","",IFERROR(INDEX(Szabályok!$F$13:$F$200,MATCH(H134,Szabályok!$A$13:$A$200,0)),""))</f>
        <v/>
      </c>
      <c r="N134" s="5">
        <f>IF(H134="","",IFERROR(INDEX(Szabályok!$G$13:$G$200,MATCH(H134,Szabályok!$A$13:$A$200,0)),""))</f>
        <v/>
      </c>
      <c r="O134" s="5">
        <f>IF(H134="","",IFERROR(INDEX(Szabályok!$H$13:$H$200,MATCH(H134,Szabályok!$A$13:$A$200,0)),""))</f>
        <v/>
      </c>
      <c r="P134" s="5" t="n"/>
      <c r="Q134" s="6" t="n"/>
      <c r="R134" s="6" t="n"/>
      <c r="S134" s="6">
        <f>IF(COUNT(Q134:R134)=0,"",SUM(Q134:R134))</f>
        <v/>
      </c>
      <c r="T134" s="6" t="n"/>
      <c r="U134" s="5">
        <f>IF(T134="","",IF(L134&lt;&gt;"IGEN","IGEN",IF(S134&gt;=T134,"IGEN","NEM")))</f>
        <v/>
      </c>
      <c r="V134" s="5" t="n"/>
      <c r="W134" s="5" t="n"/>
      <c r="X134" s="5" t="n"/>
      <c r="Y134" s="5" t="n"/>
      <c r="Z134" s="5">
        <f>IF(X134="","",IF(COUNTIFS($X$5:$X$304,X134,$I$5:$I$304,"&lt;"&amp;I134)=0,I134,""))</f>
        <v/>
      </c>
      <c r="AA134" s="5">
        <f>IF(X134="","",IF(COUNTIFS($X$5:$X$304,X134,$I$5:$I$304,"&lt;"&amp;I134)&gt;0,"NEM",IF(COUNTIFS($X$5:$X$304,X134,$I$5:$I$304,I134)=1,"IGEN",IF(Y134=1,"IGEN","NEM"))))</f>
        <v/>
      </c>
      <c r="AB134" s="5">
        <f>IF(OR(I134="",J134=""),"",IF(OR(I134=0,V134="IGEN",W134="IGEN"),"X",IF(AND(K134&lt;&gt;"IGEN",L134="IGEN",U134="NEM"),"X",IF(AA134="IGEN",J134,"X"))))</f>
        <v/>
      </c>
      <c r="AC134" s="5">
        <f>IF(AB134="X",0,IF(D134="","",D134))</f>
        <v/>
      </c>
      <c r="AD134" s="5">
        <f>IF(AB134="X",IF(D134="","",D134),0)</f>
        <v/>
      </c>
      <c r="AE134" s="6" t="n"/>
      <c r="AF134" s="6">
        <f>IF(E134="","",SUMIFS($AI$5:AI134,$E$5:E134,E134)-AI134)</f>
        <v/>
      </c>
      <c r="AG134" s="6">
        <f>IF(AE134="","",MAX(0,AE134-AF134))</f>
        <v/>
      </c>
      <c r="AH134" s="6">
        <f>IF(S134="","",IF(OR(I134=0,V134="IGEN",W134="IGEN"),0,IF(AND(K134&lt;&gt;"IGEN",L134="IGEN",U134="NEM"),0,S134)))</f>
        <v/>
      </c>
      <c r="AI134" s="6">
        <f>IF(AH134="","",IF(M134="IGEN",MIN(AH134,AG134),AH134))</f>
        <v/>
      </c>
      <c r="AJ134" s="5" t="n"/>
    </row>
    <row r="135">
      <c r="A135" s="5" t="n"/>
      <c r="B135" s="5" t="n"/>
      <c r="C135" s="5" t="n"/>
      <c r="D135" s="5">
        <f>IF(AND(B135&lt;&gt;"",C135&lt;&gt;""),C135-B135+1,"")</f>
        <v/>
      </c>
      <c r="E135" s="5">
        <f>IF(B135&lt;&gt;"",YEAR(B135),"")</f>
        <v/>
      </c>
      <c r="F135" s="6" t="n"/>
      <c r="G135" s="6" t="n"/>
      <c r="H135" s="6" t="n"/>
      <c r="I135" s="5">
        <f>IF(H135="","",IFERROR(INDEX(Szabályok!$B$13:$B$200,MATCH(H135,Szabályok!$A$13:$A$200,0)),""))</f>
        <v/>
      </c>
      <c r="J135" s="5">
        <f>IF(H135="","",IFERROR(INDEX(Szabályok!$C$13:$C$200,MATCH(H135,Szabályok!$A$13:$A$200,0)),""))</f>
        <v/>
      </c>
      <c r="K135" s="5">
        <f>IF(H135="","",IFERROR(INDEX(Szabályok!$D$13:$D$200,MATCH(H135,Szabályok!$A$13:$A$200,0)),""))</f>
        <v/>
      </c>
      <c r="L135" s="5">
        <f>IF(H135="","",IFERROR(INDEX(Szabályok!$E$13:$E$200,MATCH(H135,Szabályok!$A$13:$A$200,0)),""))</f>
        <v/>
      </c>
      <c r="M135" s="5">
        <f>IF(H135="","",IFERROR(INDEX(Szabályok!$F$13:$F$200,MATCH(H135,Szabályok!$A$13:$A$200,0)),""))</f>
        <v/>
      </c>
      <c r="N135" s="5">
        <f>IF(H135="","",IFERROR(INDEX(Szabályok!$G$13:$G$200,MATCH(H135,Szabályok!$A$13:$A$200,0)),""))</f>
        <v/>
      </c>
      <c r="O135" s="5">
        <f>IF(H135="","",IFERROR(INDEX(Szabályok!$H$13:$H$200,MATCH(H135,Szabályok!$A$13:$A$200,0)),""))</f>
        <v/>
      </c>
      <c r="P135" s="5" t="n"/>
      <c r="Q135" s="6" t="n"/>
      <c r="R135" s="6" t="n"/>
      <c r="S135" s="6">
        <f>IF(COUNT(Q135:R135)=0,"",SUM(Q135:R135))</f>
        <v/>
      </c>
      <c r="T135" s="6" t="n"/>
      <c r="U135" s="5">
        <f>IF(T135="","",IF(L135&lt;&gt;"IGEN","IGEN",IF(S135&gt;=T135,"IGEN","NEM")))</f>
        <v/>
      </c>
      <c r="V135" s="5" t="n"/>
      <c r="W135" s="5" t="n"/>
      <c r="X135" s="5" t="n"/>
      <c r="Y135" s="5" t="n"/>
      <c r="Z135" s="5">
        <f>IF(X135="","",IF(COUNTIFS($X$5:$X$304,X135,$I$5:$I$304,"&lt;"&amp;I135)=0,I135,""))</f>
        <v/>
      </c>
      <c r="AA135" s="5">
        <f>IF(X135="","",IF(COUNTIFS($X$5:$X$304,X135,$I$5:$I$304,"&lt;"&amp;I135)&gt;0,"NEM",IF(COUNTIFS($X$5:$X$304,X135,$I$5:$I$304,I135)=1,"IGEN",IF(Y135=1,"IGEN","NEM"))))</f>
        <v/>
      </c>
      <c r="AB135" s="5">
        <f>IF(OR(I135="",J135=""),"",IF(OR(I135=0,V135="IGEN",W135="IGEN"),"X",IF(AND(K135&lt;&gt;"IGEN",L135="IGEN",U135="NEM"),"X",IF(AA135="IGEN",J135,"X"))))</f>
        <v/>
      </c>
      <c r="AC135" s="5">
        <f>IF(AB135="X",0,IF(D135="","",D135))</f>
        <v/>
      </c>
      <c r="AD135" s="5">
        <f>IF(AB135="X",IF(D135="","",D135),0)</f>
        <v/>
      </c>
      <c r="AE135" s="6" t="n"/>
      <c r="AF135" s="6">
        <f>IF(E135="","",SUMIFS($AI$5:AI135,$E$5:E135,E135)-AI135)</f>
        <v/>
      </c>
      <c r="AG135" s="6">
        <f>IF(AE135="","",MAX(0,AE135-AF135))</f>
        <v/>
      </c>
      <c r="AH135" s="6">
        <f>IF(S135="","",IF(OR(I135=0,V135="IGEN",W135="IGEN"),0,IF(AND(K135&lt;&gt;"IGEN",L135="IGEN",U135="NEM"),0,S135)))</f>
        <v/>
      </c>
      <c r="AI135" s="6">
        <f>IF(AH135="","",IF(M135="IGEN",MIN(AH135,AG135),AH135))</f>
        <v/>
      </c>
      <c r="AJ135" s="5" t="n"/>
    </row>
    <row r="136">
      <c r="A136" s="5" t="n"/>
      <c r="B136" s="5" t="n"/>
      <c r="C136" s="5" t="n"/>
      <c r="D136" s="5">
        <f>IF(AND(B136&lt;&gt;"",C136&lt;&gt;""),C136-B136+1,"")</f>
        <v/>
      </c>
      <c r="E136" s="5">
        <f>IF(B136&lt;&gt;"",YEAR(B136),"")</f>
        <v/>
      </c>
      <c r="F136" s="6" t="n"/>
      <c r="G136" s="6" t="n"/>
      <c r="H136" s="6" t="n"/>
      <c r="I136" s="5">
        <f>IF(H136="","",IFERROR(INDEX(Szabályok!$B$13:$B$200,MATCH(H136,Szabályok!$A$13:$A$200,0)),""))</f>
        <v/>
      </c>
      <c r="J136" s="5">
        <f>IF(H136="","",IFERROR(INDEX(Szabályok!$C$13:$C$200,MATCH(H136,Szabályok!$A$13:$A$200,0)),""))</f>
        <v/>
      </c>
      <c r="K136" s="5">
        <f>IF(H136="","",IFERROR(INDEX(Szabályok!$D$13:$D$200,MATCH(H136,Szabályok!$A$13:$A$200,0)),""))</f>
        <v/>
      </c>
      <c r="L136" s="5">
        <f>IF(H136="","",IFERROR(INDEX(Szabályok!$E$13:$E$200,MATCH(H136,Szabályok!$A$13:$A$200,0)),""))</f>
        <v/>
      </c>
      <c r="M136" s="5">
        <f>IF(H136="","",IFERROR(INDEX(Szabályok!$F$13:$F$200,MATCH(H136,Szabályok!$A$13:$A$200,0)),""))</f>
        <v/>
      </c>
      <c r="N136" s="5">
        <f>IF(H136="","",IFERROR(INDEX(Szabályok!$G$13:$G$200,MATCH(H136,Szabályok!$A$13:$A$200,0)),""))</f>
        <v/>
      </c>
      <c r="O136" s="5">
        <f>IF(H136="","",IFERROR(INDEX(Szabályok!$H$13:$H$200,MATCH(H136,Szabályok!$A$13:$A$200,0)),""))</f>
        <v/>
      </c>
      <c r="P136" s="5" t="n"/>
      <c r="Q136" s="6" t="n"/>
      <c r="R136" s="6" t="n"/>
      <c r="S136" s="6">
        <f>IF(COUNT(Q136:R136)=0,"",SUM(Q136:R136))</f>
        <v/>
      </c>
      <c r="T136" s="6" t="n"/>
      <c r="U136" s="5">
        <f>IF(T136="","",IF(L136&lt;&gt;"IGEN","IGEN",IF(S136&gt;=T136,"IGEN","NEM")))</f>
        <v/>
      </c>
      <c r="V136" s="5" t="n"/>
      <c r="W136" s="5" t="n"/>
      <c r="X136" s="5" t="n"/>
      <c r="Y136" s="5" t="n"/>
      <c r="Z136" s="5">
        <f>IF(X136="","",IF(COUNTIFS($X$5:$X$304,X136,$I$5:$I$304,"&lt;"&amp;I136)=0,I136,""))</f>
        <v/>
      </c>
      <c r="AA136" s="5">
        <f>IF(X136="","",IF(COUNTIFS($X$5:$X$304,X136,$I$5:$I$304,"&lt;"&amp;I136)&gt;0,"NEM",IF(COUNTIFS($X$5:$X$304,X136,$I$5:$I$304,I136)=1,"IGEN",IF(Y136=1,"IGEN","NEM"))))</f>
        <v/>
      </c>
      <c r="AB136" s="5">
        <f>IF(OR(I136="",J136=""),"",IF(OR(I136=0,V136="IGEN",W136="IGEN"),"X",IF(AND(K136&lt;&gt;"IGEN",L136="IGEN",U136="NEM"),"X",IF(AA136="IGEN",J136,"X"))))</f>
        <v/>
      </c>
      <c r="AC136" s="5">
        <f>IF(AB136="X",0,IF(D136="","",D136))</f>
        <v/>
      </c>
      <c r="AD136" s="5">
        <f>IF(AB136="X",IF(D136="","",D136),0)</f>
        <v/>
      </c>
      <c r="AE136" s="6" t="n"/>
      <c r="AF136" s="6">
        <f>IF(E136="","",SUMIFS($AI$5:AI136,$E$5:E136,E136)-AI136)</f>
        <v/>
      </c>
      <c r="AG136" s="6">
        <f>IF(AE136="","",MAX(0,AE136-AF136))</f>
        <v/>
      </c>
      <c r="AH136" s="6">
        <f>IF(S136="","",IF(OR(I136=0,V136="IGEN",W136="IGEN"),0,IF(AND(K136&lt;&gt;"IGEN",L136="IGEN",U136="NEM"),0,S136)))</f>
        <v/>
      </c>
      <c r="AI136" s="6">
        <f>IF(AH136="","",IF(M136="IGEN",MIN(AH136,AG136),AH136))</f>
        <v/>
      </c>
      <c r="AJ136" s="5" t="n"/>
    </row>
    <row r="137">
      <c r="A137" s="5" t="n"/>
      <c r="B137" s="5" t="n"/>
      <c r="C137" s="5" t="n"/>
      <c r="D137" s="5">
        <f>IF(AND(B137&lt;&gt;"",C137&lt;&gt;""),C137-B137+1,"")</f>
        <v/>
      </c>
      <c r="E137" s="5">
        <f>IF(B137&lt;&gt;"",YEAR(B137),"")</f>
        <v/>
      </c>
      <c r="F137" s="6" t="n"/>
      <c r="G137" s="6" t="n"/>
      <c r="H137" s="6" t="n"/>
      <c r="I137" s="5">
        <f>IF(H137="","",IFERROR(INDEX(Szabályok!$B$13:$B$200,MATCH(H137,Szabályok!$A$13:$A$200,0)),""))</f>
        <v/>
      </c>
      <c r="J137" s="5">
        <f>IF(H137="","",IFERROR(INDEX(Szabályok!$C$13:$C$200,MATCH(H137,Szabályok!$A$13:$A$200,0)),""))</f>
        <v/>
      </c>
      <c r="K137" s="5">
        <f>IF(H137="","",IFERROR(INDEX(Szabályok!$D$13:$D$200,MATCH(H137,Szabályok!$A$13:$A$200,0)),""))</f>
        <v/>
      </c>
      <c r="L137" s="5">
        <f>IF(H137="","",IFERROR(INDEX(Szabályok!$E$13:$E$200,MATCH(H137,Szabályok!$A$13:$A$200,0)),""))</f>
        <v/>
      </c>
      <c r="M137" s="5">
        <f>IF(H137="","",IFERROR(INDEX(Szabályok!$F$13:$F$200,MATCH(H137,Szabályok!$A$13:$A$200,0)),""))</f>
        <v/>
      </c>
      <c r="N137" s="5">
        <f>IF(H137="","",IFERROR(INDEX(Szabályok!$G$13:$G$200,MATCH(H137,Szabályok!$A$13:$A$200,0)),""))</f>
        <v/>
      </c>
      <c r="O137" s="5">
        <f>IF(H137="","",IFERROR(INDEX(Szabályok!$H$13:$H$200,MATCH(H137,Szabályok!$A$13:$A$200,0)),""))</f>
        <v/>
      </c>
      <c r="P137" s="5" t="n"/>
      <c r="Q137" s="6" t="n"/>
      <c r="R137" s="6" t="n"/>
      <c r="S137" s="6">
        <f>IF(COUNT(Q137:R137)=0,"",SUM(Q137:R137))</f>
        <v/>
      </c>
      <c r="T137" s="6" t="n"/>
      <c r="U137" s="5">
        <f>IF(T137="","",IF(L137&lt;&gt;"IGEN","IGEN",IF(S137&gt;=T137,"IGEN","NEM")))</f>
        <v/>
      </c>
      <c r="V137" s="5" t="n"/>
      <c r="W137" s="5" t="n"/>
      <c r="X137" s="5" t="n"/>
      <c r="Y137" s="5" t="n"/>
      <c r="Z137" s="5">
        <f>IF(X137="","",IF(COUNTIFS($X$5:$X$304,X137,$I$5:$I$304,"&lt;"&amp;I137)=0,I137,""))</f>
        <v/>
      </c>
      <c r="AA137" s="5">
        <f>IF(X137="","",IF(COUNTIFS($X$5:$X$304,X137,$I$5:$I$304,"&lt;"&amp;I137)&gt;0,"NEM",IF(COUNTIFS($X$5:$X$304,X137,$I$5:$I$304,I137)=1,"IGEN",IF(Y137=1,"IGEN","NEM"))))</f>
        <v/>
      </c>
      <c r="AB137" s="5">
        <f>IF(OR(I137="",J137=""),"",IF(OR(I137=0,V137="IGEN",W137="IGEN"),"X",IF(AND(K137&lt;&gt;"IGEN",L137="IGEN",U137="NEM"),"X",IF(AA137="IGEN",J137,"X"))))</f>
        <v/>
      </c>
      <c r="AC137" s="5">
        <f>IF(AB137="X",0,IF(D137="","",D137))</f>
        <v/>
      </c>
      <c r="AD137" s="5">
        <f>IF(AB137="X",IF(D137="","",D137),0)</f>
        <v/>
      </c>
      <c r="AE137" s="6" t="n"/>
      <c r="AF137" s="6">
        <f>IF(E137="","",SUMIFS($AI$5:AI137,$E$5:E137,E137)-AI137)</f>
        <v/>
      </c>
      <c r="AG137" s="6">
        <f>IF(AE137="","",MAX(0,AE137-AF137))</f>
        <v/>
      </c>
      <c r="AH137" s="6">
        <f>IF(S137="","",IF(OR(I137=0,V137="IGEN",W137="IGEN"),0,IF(AND(K137&lt;&gt;"IGEN",L137="IGEN",U137="NEM"),0,S137)))</f>
        <v/>
      </c>
      <c r="AI137" s="6">
        <f>IF(AH137="","",IF(M137="IGEN",MIN(AH137,AG137),AH137))</f>
        <v/>
      </c>
      <c r="AJ137" s="5" t="n"/>
    </row>
    <row r="138">
      <c r="A138" s="5" t="n"/>
      <c r="B138" s="5" t="n"/>
      <c r="C138" s="5" t="n"/>
      <c r="D138" s="5">
        <f>IF(AND(B138&lt;&gt;"",C138&lt;&gt;""),C138-B138+1,"")</f>
        <v/>
      </c>
      <c r="E138" s="5">
        <f>IF(B138&lt;&gt;"",YEAR(B138),"")</f>
        <v/>
      </c>
      <c r="F138" s="6" t="n"/>
      <c r="G138" s="6" t="n"/>
      <c r="H138" s="6" t="n"/>
      <c r="I138" s="5">
        <f>IF(H138="","",IFERROR(INDEX(Szabályok!$B$13:$B$200,MATCH(H138,Szabályok!$A$13:$A$200,0)),""))</f>
        <v/>
      </c>
      <c r="J138" s="5">
        <f>IF(H138="","",IFERROR(INDEX(Szabályok!$C$13:$C$200,MATCH(H138,Szabályok!$A$13:$A$200,0)),""))</f>
        <v/>
      </c>
      <c r="K138" s="5">
        <f>IF(H138="","",IFERROR(INDEX(Szabályok!$D$13:$D$200,MATCH(H138,Szabályok!$A$13:$A$200,0)),""))</f>
        <v/>
      </c>
      <c r="L138" s="5">
        <f>IF(H138="","",IFERROR(INDEX(Szabályok!$E$13:$E$200,MATCH(H138,Szabályok!$A$13:$A$200,0)),""))</f>
        <v/>
      </c>
      <c r="M138" s="5">
        <f>IF(H138="","",IFERROR(INDEX(Szabályok!$F$13:$F$200,MATCH(H138,Szabályok!$A$13:$A$200,0)),""))</f>
        <v/>
      </c>
      <c r="N138" s="5">
        <f>IF(H138="","",IFERROR(INDEX(Szabályok!$G$13:$G$200,MATCH(H138,Szabályok!$A$13:$A$200,0)),""))</f>
        <v/>
      </c>
      <c r="O138" s="5">
        <f>IF(H138="","",IFERROR(INDEX(Szabályok!$H$13:$H$200,MATCH(H138,Szabályok!$A$13:$A$200,0)),""))</f>
        <v/>
      </c>
      <c r="P138" s="5" t="n"/>
      <c r="Q138" s="6" t="n"/>
      <c r="R138" s="6" t="n"/>
      <c r="S138" s="6">
        <f>IF(COUNT(Q138:R138)=0,"",SUM(Q138:R138))</f>
        <v/>
      </c>
      <c r="T138" s="6" t="n"/>
      <c r="U138" s="5">
        <f>IF(T138="","",IF(L138&lt;&gt;"IGEN","IGEN",IF(S138&gt;=T138,"IGEN","NEM")))</f>
        <v/>
      </c>
      <c r="V138" s="5" t="n"/>
      <c r="W138" s="5" t="n"/>
      <c r="X138" s="5" t="n"/>
      <c r="Y138" s="5" t="n"/>
      <c r="Z138" s="5">
        <f>IF(X138="","",IF(COUNTIFS($X$5:$X$304,X138,$I$5:$I$304,"&lt;"&amp;I138)=0,I138,""))</f>
        <v/>
      </c>
      <c r="AA138" s="5">
        <f>IF(X138="","",IF(COUNTIFS($X$5:$X$304,X138,$I$5:$I$304,"&lt;"&amp;I138)&gt;0,"NEM",IF(COUNTIFS($X$5:$X$304,X138,$I$5:$I$304,I138)=1,"IGEN",IF(Y138=1,"IGEN","NEM"))))</f>
        <v/>
      </c>
      <c r="AB138" s="5">
        <f>IF(OR(I138="",J138=""),"",IF(OR(I138=0,V138="IGEN",W138="IGEN"),"X",IF(AND(K138&lt;&gt;"IGEN",L138="IGEN",U138="NEM"),"X",IF(AA138="IGEN",J138,"X"))))</f>
        <v/>
      </c>
      <c r="AC138" s="5">
        <f>IF(AB138="X",0,IF(D138="","",D138))</f>
        <v/>
      </c>
      <c r="AD138" s="5">
        <f>IF(AB138="X",IF(D138="","",D138),0)</f>
        <v/>
      </c>
      <c r="AE138" s="6" t="n"/>
      <c r="AF138" s="6">
        <f>IF(E138="","",SUMIFS($AI$5:AI138,$E$5:E138,E138)-AI138)</f>
        <v/>
      </c>
      <c r="AG138" s="6">
        <f>IF(AE138="","",MAX(0,AE138-AF138))</f>
        <v/>
      </c>
      <c r="AH138" s="6">
        <f>IF(S138="","",IF(OR(I138=0,V138="IGEN",W138="IGEN"),0,IF(AND(K138&lt;&gt;"IGEN",L138="IGEN",U138="NEM"),0,S138)))</f>
        <v/>
      </c>
      <c r="AI138" s="6">
        <f>IF(AH138="","",IF(M138="IGEN",MIN(AH138,AG138),AH138))</f>
        <v/>
      </c>
      <c r="AJ138" s="5" t="n"/>
    </row>
    <row r="139">
      <c r="A139" s="5" t="n"/>
      <c r="B139" s="5" t="n"/>
      <c r="C139" s="5" t="n"/>
      <c r="D139" s="5">
        <f>IF(AND(B139&lt;&gt;"",C139&lt;&gt;""),C139-B139+1,"")</f>
        <v/>
      </c>
      <c r="E139" s="5">
        <f>IF(B139&lt;&gt;"",YEAR(B139),"")</f>
        <v/>
      </c>
      <c r="F139" s="6" t="n"/>
      <c r="G139" s="6" t="n"/>
      <c r="H139" s="6" t="n"/>
      <c r="I139" s="5">
        <f>IF(H139="","",IFERROR(INDEX(Szabályok!$B$13:$B$200,MATCH(H139,Szabályok!$A$13:$A$200,0)),""))</f>
        <v/>
      </c>
      <c r="J139" s="5">
        <f>IF(H139="","",IFERROR(INDEX(Szabályok!$C$13:$C$200,MATCH(H139,Szabályok!$A$13:$A$200,0)),""))</f>
        <v/>
      </c>
      <c r="K139" s="5">
        <f>IF(H139="","",IFERROR(INDEX(Szabályok!$D$13:$D$200,MATCH(H139,Szabályok!$A$13:$A$200,0)),""))</f>
        <v/>
      </c>
      <c r="L139" s="5">
        <f>IF(H139="","",IFERROR(INDEX(Szabályok!$E$13:$E$200,MATCH(H139,Szabályok!$A$13:$A$200,0)),""))</f>
        <v/>
      </c>
      <c r="M139" s="5">
        <f>IF(H139="","",IFERROR(INDEX(Szabályok!$F$13:$F$200,MATCH(H139,Szabályok!$A$13:$A$200,0)),""))</f>
        <v/>
      </c>
      <c r="N139" s="5">
        <f>IF(H139="","",IFERROR(INDEX(Szabályok!$G$13:$G$200,MATCH(H139,Szabályok!$A$13:$A$200,0)),""))</f>
        <v/>
      </c>
      <c r="O139" s="5">
        <f>IF(H139="","",IFERROR(INDEX(Szabályok!$H$13:$H$200,MATCH(H139,Szabályok!$A$13:$A$200,0)),""))</f>
        <v/>
      </c>
      <c r="P139" s="5" t="n"/>
      <c r="Q139" s="6" t="n"/>
      <c r="R139" s="6" t="n"/>
      <c r="S139" s="6">
        <f>IF(COUNT(Q139:R139)=0,"",SUM(Q139:R139))</f>
        <v/>
      </c>
      <c r="T139" s="6" t="n"/>
      <c r="U139" s="5">
        <f>IF(T139="","",IF(L139&lt;&gt;"IGEN","IGEN",IF(S139&gt;=T139,"IGEN","NEM")))</f>
        <v/>
      </c>
      <c r="V139" s="5" t="n"/>
      <c r="W139" s="5" t="n"/>
      <c r="X139" s="5" t="n"/>
      <c r="Y139" s="5" t="n"/>
      <c r="Z139" s="5">
        <f>IF(X139="","",IF(COUNTIFS($X$5:$X$304,X139,$I$5:$I$304,"&lt;"&amp;I139)=0,I139,""))</f>
        <v/>
      </c>
      <c r="AA139" s="5">
        <f>IF(X139="","",IF(COUNTIFS($X$5:$X$304,X139,$I$5:$I$304,"&lt;"&amp;I139)&gt;0,"NEM",IF(COUNTIFS($X$5:$X$304,X139,$I$5:$I$304,I139)=1,"IGEN",IF(Y139=1,"IGEN","NEM"))))</f>
        <v/>
      </c>
      <c r="AB139" s="5">
        <f>IF(OR(I139="",J139=""),"",IF(OR(I139=0,V139="IGEN",W139="IGEN"),"X",IF(AND(K139&lt;&gt;"IGEN",L139="IGEN",U139="NEM"),"X",IF(AA139="IGEN",J139,"X"))))</f>
        <v/>
      </c>
      <c r="AC139" s="5">
        <f>IF(AB139="X",0,IF(D139="","",D139))</f>
        <v/>
      </c>
      <c r="AD139" s="5">
        <f>IF(AB139="X",IF(D139="","",D139),0)</f>
        <v/>
      </c>
      <c r="AE139" s="6" t="n"/>
      <c r="AF139" s="6">
        <f>IF(E139="","",SUMIFS($AI$5:AI139,$E$5:E139,E139)-AI139)</f>
        <v/>
      </c>
      <c r="AG139" s="6">
        <f>IF(AE139="","",MAX(0,AE139-AF139))</f>
        <v/>
      </c>
      <c r="AH139" s="6">
        <f>IF(S139="","",IF(OR(I139=0,V139="IGEN",W139="IGEN"),0,IF(AND(K139&lt;&gt;"IGEN",L139="IGEN",U139="NEM"),0,S139)))</f>
        <v/>
      </c>
      <c r="AI139" s="6">
        <f>IF(AH139="","",IF(M139="IGEN",MIN(AH139,AG139),AH139))</f>
        <v/>
      </c>
      <c r="AJ139" s="5" t="n"/>
    </row>
    <row r="140">
      <c r="A140" s="5" t="n"/>
      <c r="B140" s="5" t="n"/>
      <c r="C140" s="5" t="n"/>
      <c r="D140" s="5">
        <f>IF(AND(B140&lt;&gt;"",C140&lt;&gt;""),C140-B140+1,"")</f>
        <v/>
      </c>
      <c r="E140" s="5">
        <f>IF(B140&lt;&gt;"",YEAR(B140),"")</f>
        <v/>
      </c>
      <c r="F140" s="6" t="n"/>
      <c r="G140" s="6" t="n"/>
      <c r="H140" s="6" t="n"/>
      <c r="I140" s="5">
        <f>IF(H140="","",IFERROR(INDEX(Szabályok!$B$13:$B$200,MATCH(H140,Szabályok!$A$13:$A$200,0)),""))</f>
        <v/>
      </c>
      <c r="J140" s="5">
        <f>IF(H140="","",IFERROR(INDEX(Szabályok!$C$13:$C$200,MATCH(H140,Szabályok!$A$13:$A$200,0)),""))</f>
        <v/>
      </c>
      <c r="K140" s="5">
        <f>IF(H140="","",IFERROR(INDEX(Szabályok!$D$13:$D$200,MATCH(H140,Szabályok!$A$13:$A$200,0)),""))</f>
        <v/>
      </c>
      <c r="L140" s="5">
        <f>IF(H140="","",IFERROR(INDEX(Szabályok!$E$13:$E$200,MATCH(H140,Szabályok!$A$13:$A$200,0)),""))</f>
        <v/>
      </c>
      <c r="M140" s="5">
        <f>IF(H140="","",IFERROR(INDEX(Szabályok!$F$13:$F$200,MATCH(H140,Szabályok!$A$13:$A$200,0)),""))</f>
        <v/>
      </c>
      <c r="N140" s="5">
        <f>IF(H140="","",IFERROR(INDEX(Szabályok!$G$13:$G$200,MATCH(H140,Szabályok!$A$13:$A$200,0)),""))</f>
        <v/>
      </c>
      <c r="O140" s="5">
        <f>IF(H140="","",IFERROR(INDEX(Szabályok!$H$13:$H$200,MATCH(H140,Szabályok!$A$13:$A$200,0)),""))</f>
        <v/>
      </c>
      <c r="P140" s="5" t="n"/>
      <c r="Q140" s="6" t="n"/>
      <c r="R140" s="6" t="n"/>
      <c r="S140" s="6">
        <f>IF(COUNT(Q140:R140)=0,"",SUM(Q140:R140))</f>
        <v/>
      </c>
      <c r="T140" s="6" t="n"/>
      <c r="U140" s="5">
        <f>IF(T140="","",IF(L140&lt;&gt;"IGEN","IGEN",IF(S140&gt;=T140,"IGEN","NEM")))</f>
        <v/>
      </c>
      <c r="V140" s="5" t="n"/>
      <c r="W140" s="5" t="n"/>
      <c r="X140" s="5" t="n"/>
      <c r="Y140" s="5" t="n"/>
      <c r="Z140" s="5">
        <f>IF(X140="","",IF(COUNTIFS($X$5:$X$304,X140,$I$5:$I$304,"&lt;"&amp;I140)=0,I140,""))</f>
        <v/>
      </c>
      <c r="AA140" s="5">
        <f>IF(X140="","",IF(COUNTIFS($X$5:$X$304,X140,$I$5:$I$304,"&lt;"&amp;I140)&gt;0,"NEM",IF(COUNTIFS($X$5:$X$304,X140,$I$5:$I$304,I140)=1,"IGEN",IF(Y140=1,"IGEN","NEM"))))</f>
        <v/>
      </c>
      <c r="AB140" s="5">
        <f>IF(OR(I140="",J140=""),"",IF(OR(I140=0,V140="IGEN",W140="IGEN"),"X",IF(AND(K140&lt;&gt;"IGEN",L140="IGEN",U140="NEM"),"X",IF(AA140="IGEN",J140,"X"))))</f>
        <v/>
      </c>
      <c r="AC140" s="5">
        <f>IF(AB140="X",0,IF(D140="","",D140))</f>
        <v/>
      </c>
      <c r="AD140" s="5">
        <f>IF(AB140="X",IF(D140="","",D140),0)</f>
        <v/>
      </c>
      <c r="AE140" s="6" t="n"/>
      <c r="AF140" s="6">
        <f>IF(E140="","",SUMIFS($AI$5:AI140,$E$5:E140,E140)-AI140)</f>
        <v/>
      </c>
      <c r="AG140" s="6">
        <f>IF(AE140="","",MAX(0,AE140-AF140))</f>
        <v/>
      </c>
      <c r="AH140" s="6">
        <f>IF(S140="","",IF(OR(I140=0,V140="IGEN",W140="IGEN"),0,IF(AND(K140&lt;&gt;"IGEN",L140="IGEN",U140="NEM"),0,S140)))</f>
        <v/>
      </c>
      <c r="AI140" s="6">
        <f>IF(AH140="","",IF(M140="IGEN",MIN(AH140,AG140),AH140))</f>
        <v/>
      </c>
      <c r="AJ140" s="5" t="n"/>
    </row>
    <row r="141">
      <c r="A141" s="5" t="n"/>
      <c r="B141" s="5" t="n"/>
      <c r="C141" s="5" t="n"/>
      <c r="D141" s="5">
        <f>IF(AND(B141&lt;&gt;"",C141&lt;&gt;""),C141-B141+1,"")</f>
        <v/>
      </c>
      <c r="E141" s="5">
        <f>IF(B141&lt;&gt;"",YEAR(B141),"")</f>
        <v/>
      </c>
      <c r="F141" s="6" t="n"/>
      <c r="G141" s="6" t="n"/>
      <c r="H141" s="6" t="n"/>
      <c r="I141" s="5">
        <f>IF(H141="","",IFERROR(INDEX(Szabályok!$B$13:$B$200,MATCH(H141,Szabályok!$A$13:$A$200,0)),""))</f>
        <v/>
      </c>
      <c r="J141" s="5">
        <f>IF(H141="","",IFERROR(INDEX(Szabályok!$C$13:$C$200,MATCH(H141,Szabályok!$A$13:$A$200,0)),""))</f>
        <v/>
      </c>
      <c r="K141" s="5">
        <f>IF(H141="","",IFERROR(INDEX(Szabályok!$D$13:$D$200,MATCH(H141,Szabályok!$A$13:$A$200,0)),""))</f>
        <v/>
      </c>
      <c r="L141" s="5">
        <f>IF(H141="","",IFERROR(INDEX(Szabályok!$E$13:$E$200,MATCH(H141,Szabályok!$A$13:$A$200,0)),""))</f>
        <v/>
      </c>
      <c r="M141" s="5">
        <f>IF(H141="","",IFERROR(INDEX(Szabályok!$F$13:$F$200,MATCH(H141,Szabályok!$A$13:$A$200,0)),""))</f>
        <v/>
      </c>
      <c r="N141" s="5">
        <f>IF(H141="","",IFERROR(INDEX(Szabályok!$G$13:$G$200,MATCH(H141,Szabályok!$A$13:$A$200,0)),""))</f>
        <v/>
      </c>
      <c r="O141" s="5">
        <f>IF(H141="","",IFERROR(INDEX(Szabályok!$H$13:$H$200,MATCH(H141,Szabályok!$A$13:$A$200,0)),""))</f>
        <v/>
      </c>
      <c r="P141" s="5" t="n"/>
      <c r="Q141" s="6" t="n"/>
      <c r="R141" s="6" t="n"/>
      <c r="S141" s="6">
        <f>IF(COUNT(Q141:R141)=0,"",SUM(Q141:R141))</f>
        <v/>
      </c>
      <c r="T141" s="6" t="n"/>
      <c r="U141" s="5">
        <f>IF(T141="","",IF(L141&lt;&gt;"IGEN","IGEN",IF(S141&gt;=T141,"IGEN","NEM")))</f>
        <v/>
      </c>
      <c r="V141" s="5" t="n"/>
      <c r="W141" s="5" t="n"/>
      <c r="X141" s="5" t="n"/>
      <c r="Y141" s="5" t="n"/>
      <c r="Z141" s="5">
        <f>IF(X141="","",IF(COUNTIFS($X$5:$X$304,X141,$I$5:$I$304,"&lt;"&amp;I141)=0,I141,""))</f>
        <v/>
      </c>
      <c r="AA141" s="5">
        <f>IF(X141="","",IF(COUNTIFS($X$5:$X$304,X141,$I$5:$I$304,"&lt;"&amp;I141)&gt;0,"NEM",IF(COUNTIFS($X$5:$X$304,X141,$I$5:$I$304,I141)=1,"IGEN",IF(Y141=1,"IGEN","NEM"))))</f>
        <v/>
      </c>
      <c r="AB141" s="5">
        <f>IF(OR(I141="",J141=""),"",IF(OR(I141=0,V141="IGEN",W141="IGEN"),"X",IF(AND(K141&lt;&gt;"IGEN",L141="IGEN",U141="NEM"),"X",IF(AA141="IGEN",J141,"X"))))</f>
        <v/>
      </c>
      <c r="AC141" s="5">
        <f>IF(AB141="X",0,IF(D141="","",D141))</f>
        <v/>
      </c>
      <c r="AD141" s="5">
        <f>IF(AB141="X",IF(D141="","",D141),0)</f>
        <v/>
      </c>
      <c r="AE141" s="6" t="n"/>
      <c r="AF141" s="6">
        <f>IF(E141="","",SUMIFS($AI$5:AI141,$E$5:E141,E141)-AI141)</f>
        <v/>
      </c>
      <c r="AG141" s="6">
        <f>IF(AE141="","",MAX(0,AE141-AF141))</f>
        <v/>
      </c>
      <c r="AH141" s="6">
        <f>IF(S141="","",IF(OR(I141=0,V141="IGEN",W141="IGEN"),0,IF(AND(K141&lt;&gt;"IGEN",L141="IGEN",U141="NEM"),0,S141)))</f>
        <v/>
      </c>
      <c r="AI141" s="6">
        <f>IF(AH141="","",IF(M141="IGEN",MIN(AH141,AG141),AH141))</f>
        <v/>
      </c>
      <c r="AJ141" s="5" t="n"/>
    </row>
    <row r="142">
      <c r="A142" s="5" t="n"/>
      <c r="B142" s="5" t="n"/>
      <c r="C142" s="5" t="n"/>
      <c r="D142" s="5">
        <f>IF(AND(B142&lt;&gt;"",C142&lt;&gt;""),C142-B142+1,"")</f>
        <v/>
      </c>
      <c r="E142" s="5">
        <f>IF(B142&lt;&gt;"",YEAR(B142),"")</f>
        <v/>
      </c>
      <c r="F142" s="6" t="n"/>
      <c r="G142" s="6" t="n"/>
      <c r="H142" s="6" t="n"/>
      <c r="I142" s="5">
        <f>IF(H142="","",IFERROR(INDEX(Szabályok!$B$13:$B$200,MATCH(H142,Szabályok!$A$13:$A$200,0)),""))</f>
        <v/>
      </c>
      <c r="J142" s="5">
        <f>IF(H142="","",IFERROR(INDEX(Szabályok!$C$13:$C$200,MATCH(H142,Szabályok!$A$13:$A$200,0)),""))</f>
        <v/>
      </c>
      <c r="K142" s="5">
        <f>IF(H142="","",IFERROR(INDEX(Szabályok!$D$13:$D$200,MATCH(H142,Szabályok!$A$13:$A$200,0)),""))</f>
        <v/>
      </c>
      <c r="L142" s="5">
        <f>IF(H142="","",IFERROR(INDEX(Szabályok!$E$13:$E$200,MATCH(H142,Szabályok!$A$13:$A$200,0)),""))</f>
        <v/>
      </c>
      <c r="M142" s="5">
        <f>IF(H142="","",IFERROR(INDEX(Szabályok!$F$13:$F$200,MATCH(H142,Szabályok!$A$13:$A$200,0)),""))</f>
        <v/>
      </c>
      <c r="N142" s="5">
        <f>IF(H142="","",IFERROR(INDEX(Szabályok!$G$13:$G$200,MATCH(H142,Szabályok!$A$13:$A$200,0)),""))</f>
        <v/>
      </c>
      <c r="O142" s="5">
        <f>IF(H142="","",IFERROR(INDEX(Szabályok!$H$13:$H$200,MATCH(H142,Szabályok!$A$13:$A$200,0)),""))</f>
        <v/>
      </c>
      <c r="P142" s="5" t="n"/>
      <c r="Q142" s="6" t="n"/>
      <c r="R142" s="6" t="n"/>
      <c r="S142" s="6">
        <f>IF(COUNT(Q142:R142)=0,"",SUM(Q142:R142))</f>
        <v/>
      </c>
      <c r="T142" s="6" t="n"/>
      <c r="U142" s="5">
        <f>IF(T142="","",IF(L142&lt;&gt;"IGEN","IGEN",IF(S142&gt;=T142,"IGEN","NEM")))</f>
        <v/>
      </c>
      <c r="V142" s="5" t="n"/>
      <c r="W142" s="5" t="n"/>
      <c r="X142" s="5" t="n"/>
      <c r="Y142" s="5" t="n"/>
      <c r="Z142" s="5">
        <f>IF(X142="","",IF(COUNTIFS($X$5:$X$304,X142,$I$5:$I$304,"&lt;"&amp;I142)=0,I142,""))</f>
        <v/>
      </c>
      <c r="AA142" s="5">
        <f>IF(X142="","",IF(COUNTIFS($X$5:$X$304,X142,$I$5:$I$304,"&lt;"&amp;I142)&gt;0,"NEM",IF(COUNTIFS($X$5:$X$304,X142,$I$5:$I$304,I142)=1,"IGEN",IF(Y142=1,"IGEN","NEM"))))</f>
        <v/>
      </c>
      <c r="AB142" s="5">
        <f>IF(OR(I142="",J142=""),"",IF(OR(I142=0,V142="IGEN",W142="IGEN"),"X",IF(AND(K142&lt;&gt;"IGEN",L142="IGEN",U142="NEM"),"X",IF(AA142="IGEN",J142,"X"))))</f>
        <v/>
      </c>
      <c r="AC142" s="5">
        <f>IF(AB142="X",0,IF(D142="","",D142))</f>
        <v/>
      </c>
      <c r="AD142" s="5">
        <f>IF(AB142="X",IF(D142="","",D142),0)</f>
        <v/>
      </c>
      <c r="AE142" s="6" t="n"/>
      <c r="AF142" s="6">
        <f>IF(E142="","",SUMIFS($AI$5:AI142,$E$5:E142,E142)-AI142)</f>
        <v/>
      </c>
      <c r="AG142" s="6">
        <f>IF(AE142="","",MAX(0,AE142-AF142))</f>
        <v/>
      </c>
      <c r="AH142" s="6">
        <f>IF(S142="","",IF(OR(I142=0,V142="IGEN",W142="IGEN"),0,IF(AND(K142&lt;&gt;"IGEN",L142="IGEN",U142="NEM"),0,S142)))</f>
        <v/>
      </c>
      <c r="AI142" s="6">
        <f>IF(AH142="","",IF(M142="IGEN",MIN(AH142,AG142),AH142))</f>
        <v/>
      </c>
      <c r="AJ142" s="5" t="n"/>
    </row>
    <row r="143">
      <c r="A143" s="5" t="n"/>
      <c r="B143" s="5" t="n"/>
      <c r="C143" s="5" t="n"/>
      <c r="D143" s="5">
        <f>IF(AND(B143&lt;&gt;"",C143&lt;&gt;""),C143-B143+1,"")</f>
        <v/>
      </c>
      <c r="E143" s="5">
        <f>IF(B143&lt;&gt;"",YEAR(B143),"")</f>
        <v/>
      </c>
      <c r="F143" s="6" t="n"/>
      <c r="G143" s="6" t="n"/>
      <c r="H143" s="6" t="n"/>
      <c r="I143" s="5">
        <f>IF(H143="","",IFERROR(INDEX(Szabályok!$B$13:$B$200,MATCH(H143,Szabályok!$A$13:$A$200,0)),""))</f>
        <v/>
      </c>
      <c r="J143" s="5">
        <f>IF(H143="","",IFERROR(INDEX(Szabályok!$C$13:$C$200,MATCH(H143,Szabályok!$A$13:$A$200,0)),""))</f>
        <v/>
      </c>
      <c r="K143" s="5">
        <f>IF(H143="","",IFERROR(INDEX(Szabályok!$D$13:$D$200,MATCH(H143,Szabályok!$A$13:$A$200,0)),""))</f>
        <v/>
      </c>
      <c r="L143" s="5">
        <f>IF(H143="","",IFERROR(INDEX(Szabályok!$E$13:$E$200,MATCH(H143,Szabályok!$A$13:$A$200,0)),""))</f>
        <v/>
      </c>
      <c r="M143" s="5">
        <f>IF(H143="","",IFERROR(INDEX(Szabályok!$F$13:$F$200,MATCH(H143,Szabályok!$A$13:$A$200,0)),""))</f>
        <v/>
      </c>
      <c r="N143" s="5">
        <f>IF(H143="","",IFERROR(INDEX(Szabályok!$G$13:$G$200,MATCH(H143,Szabályok!$A$13:$A$200,0)),""))</f>
        <v/>
      </c>
      <c r="O143" s="5">
        <f>IF(H143="","",IFERROR(INDEX(Szabályok!$H$13:$H$200,MATCH(H143,Szabályok!$A$13:$A$200,0)),""))</f>
        <v/>
      </c>
      <c r="P143" s="5" t="n"/>
      <c r="Q143" s="6" t="n"/>
      <c r="R143" s="6" t="n"/>
      <c r="S143" s="6">
        <f>IF(COUNT(Q143:R143)=0,"",SUM(Q143:R143))</f>
        <v/>
      </c>
      <c r="T143" s="6" t="n"/>
      <c r="U143" s="5">
        <f>IF(T143="","",IF(L143&lt;&gt;"IGEN","IGEN",IF(S143&gt;=T143,"IGEN","NEM")))</f>
        <v/>
      </c>
      <c r="V143" s="5" t="n"/>
      <c r="W143" s="5" t="n"/>
      <c r="X143" s="5" t="n"/>
      <c r="Y143" s="5" t="n"/>
      <c r="Z143" s="5">
        <f>IF(X143="","",IF(COUNTIFS($X$5:$X$304,X143,$I$5:$I$304,"&lt;"&amp;I143)=0,I143,""))</f>
        <v/>
      </c>
      <c r="AA143" s="5">
        <f>IF(X143="","",IF(COUNTIFS($X$5:$X$304,X143,$I$5:$I$304,"&lt;"&amp;I143)&gt;0,"NEM",IF(COUNTIFS($X$5:$X$304,X143,$I$5:$I$304,I143)=1,"IGEN",IF(Y143=1,"IGEN","NEM"))))</f>
        <v/>
      </c>
      <c r="AB143" s="5">
        <f>IF(OR(I143="",J143=""),"",IF(OR(I143=0,V143="IGEN",W143="IGEN"),"X",IF(AND(K143&lt;&gt;"IGEN",L143="IGEN",U143="NEM"),"X",IF(AA143="IGEN",J143,"X"))))</f>
        <v/>
      </c>
      <c r="AC143" s="5">
        <f>IF(AB143="X",0,IF(D143="","",D143))</f>
        <v/>
      </c>
      <c r="AD143" s="5">
        <f>IF(AB143="X",IF(D143="","",D143),0)</f>
        <v/>
      </c>
      <c r="AE143" s="6" t="n"/>
      <c r="AF143" s="6">
        <f>IF(E143="","",SUMIFS($AI$5:AI143,$E$5:E143,E143)-AI143)</f>
        <v/>
      </c>
      <c r="AG143" s="6">
        <f>IF(AE143="","",MAX(0,AE143-AF143))</f>
        <v/>
      </c>
      <c r="AH143" s="6">
        <f>IF(S143="","",IF(OR(I143=0,V143="IGEN",W143="IGEN"),0,IF(AND(K143&lt;&gt;"IGEN",L143="IGEN",U143="NEM"),0,S143)))</f>
        <v/>
      </c>
      <c r="AI143" s="6">
        <f>IF(AH143="","",IF(M143="IGEN",MIN(AH143,AG143),AH143))</f>
        <v/>
      </c>
      <c r="AJ143" s="5" t="n"/>
    </row>
    <row r="144">
      <c r="A144" s="5" t="n"/>
      <c r="B144" s="5" t="n"/>
      <c r="C144" s="5" t="n"/>
      <c r="D144" s="5">
        <f>IF(AND(B144&lt;&gt;"",C144&lt;&gt;""),C144-B144+1,"")</f>
        <v/>
      </c>
      <c r="E144" s="5">
        <f>IF(B144&lt;&gt;"",YEAR(B144),"")</f>
        <v/>
      </c>
      <c r="F144" s="6" t="n"/>
      <c r="G144" s="6" t="n"/>
      <c r="H144" s="6" t="n"/>
      <c r="I144" s="5">
        <f>IF(H144="","",IFERROR(INDEX(Szabályok!$B$13:$B$200,MATCH(H144,Szabályok!$A$13:$A$200,0)),""))</f>
        <v/>
      </c>
      <c r="J144" s="5">
        <f>IF(H144="","",IFERROR(INDEX(Szabályok!$C$13:$C$200,MATCH(H144,Szabályok!$A$13:$A$200,0)),""))</f>
        <v/>
      </c>
      <c r="K144" s="5">
        <f>IF(H144="","",IFERROR(INDEX(Szabályok!$D$13:$D$200,MATCH(H144,Szabályok!$A$13:$A$200,0)),""))</f>
        <v/>
      </c>
      <c r="L144" s="5">
        <f>IF(H144="","",IFERROR(INDEX(Szabályok!$E$13:$E$200,MATCH(H144,Szabályok!$A$13:$A$200,0)),""))</f>
        <v/>
      </c>
      <c r="M144" s="5">
        <f>IF(H144="","",IFERROR(INDEX(Szabályok!$F$13:$F$200,MATCH(H144,Szabályok!$A$13:$A$200,0)),""))</f>
        <v/>
      </c>
      <c r="N144" s="5">
        <f>IF(H144="","",IFERROR(INDEX(Szabályok!$G$13:$G$200,MATCH(H144,Szabályok!$A$13:$A$200,0)),""))</f>
        <v/>
      </c>
      <c r="O144" s="5">
        <f>IF(H144="","",IFERROR(INDEX(Szabályok!$H$13:$H$200,MATCH(H144,Szabályok!$A$13:$A$200,0)),""))</f>
        <v/>
      </c>
      <c r="P144" s="5" t="n"/>
      <c r="Q144" s="6" t="n"/>
      <c r="R144" s="6" t="n"/>
      <c r="S144" s="6">
        <f>IF(COUNT(Q144:R144)=0,"",SUM(Q144:R144))</f>
        <v/>
      </c>
      <c r="T144" s="6" t="n"/>
      <c r="U144" s="5">
        <f>IF(T144="","",IF(L144&lt;&gt;"IGEN","IGEN",IF(S144&gt;=T144,"IGEN","NEM")))</f>
        <v/>
      </c>
      <c r="V144" s="5" t="n"/>
      <c r="W144" s="5" t="n"/>
      <c r="X144" s="5" t="n"/>
      <c r="Y144" s="5" t="n"/>
      <c r="Z144" s="5">
        <f>IF(X144="","",IF(COUNTIFS($X$5:$X$304,X144,$I$5:$I$304,"&lt;"&amp;I144)=0,I144,""))</f>
        <v/>
      </c>
      <c r="AA144" s="5">
        <f>IF(X144="","",IF(COUNTIFS($X$5:$X$304,X144,$I$5:$I$304,"&lt;"&amp;I144)&gt;0,"NEM",IF(COUNTIFS($X$5:$X$304,X144,$I$5:$I$304,I144)=1,"IGEN",IF(Y144=1,"IGEN","NEM"))))</f>
        <v/>
      </c>
      <c r="AB144" s="5">
        <f>IF(OR(I144="",J144=""),"",IF(OR(I144=0,V144="IGEN",W144="IGEN"),"X",IF(AND(K144&lt;&gt;"IGEN",L144="IGEN",U144="NEM"),"X",IF(AA144="IGEN",J144,"X"))))</f>
        <v/>
      </c>
      <c r="AC144" s="5">
        <f>IF(AB144="X",0,IF(D144="","",D144))</f>
        <v/>
      </c>
      <c r="AD144" s="5">
        <f>IF(AB144="X",IF(D144="","",D144),0)</f>
        <v/>
      </c>
      <c r="AE144" s="6" t="n"/>
      <c r="AF144" s="6">
        <f>IF(E144="","",SUMIFS($AI$5:AI144,$E$5:E144,E144)-AI144)</f>
        <v/>
      </c>
      <c r="AG144" s="6">
        <f>IF(AE144="","",MAX(0,AE144-AF144))</f>
        <v/>
      </c>
      <c r="AH144" s="6">
        <f>IF(S144="","",IF(OR(I144=0,V144="IGEN",W144="IGEN"),0,IF(AND(K144&lt;&gt;"IGEN",L144="IGEN",U144="NEM"),0,S144)))</f>
        <v/>
      </c>
      <c r="AI144" s="6">
        <f>IF(AH144="","",IF(M144="IGEN",MIN(AH144,AG144),AH144))</f>
        <v/>
      </c>
      <c r="AJ144" s="5" t="n"/>
    </row>
    <row r="145">
      <c r="A145" s="5" t="n"/>
      <c r="B145" s="5" t="n"/>
      <c r="C145" s="5" t="n"/>
      <c r="D145" s="5">
        <f>IF(AND(B145&lt;&gt;"",C145&lt;&gt;""),C145-B145+1,"")</f>
        <v/>
      </c>
      <c r="E145" s="5">
        <f>IF(B145&lt;&gt;"",YEAR(B145),"")</f>
        <v/>
      </c>
      <c r="F145" s="6" t="n"/>
      <c r="G145" s="6" t="n"/>
      <c r="H145" s="6" t="n"/>
      <c r="I145" s="5">
        <f>IF(H145="","",IFERROR(INDEX(Szabályok!$B$13:$B$200,MATCH(H145,Szabályok!$A$13:$A$200,0)),""))</f>
        <v/>
      </c>
      <c r="J145" s="5">
        <f>IF(H145="","",IFERROR(INDEX(Szabályok!$C$13:$C$200,MATCH(H145,Szabályok!$A$13:$A$200,0)),""))</f>
        <v/>
      </c>
      <c r="K145" s="5">
        <f>IF(H145="","",IFERROR(INDEX(Szabályok!$D$13:$D$200,MATCH(H145,Szabályok!$A$13:$A$200,0)),""))</f>
        <v/>
      </c>
      <c r="L145" s="5">
        <f>IF(H145="","",IFERROR(INDEX(Szabályok!$E$13:$E$200,MATCH(H145,Szabályok!$A$13:$A$200,0)),""))</f>
        <v/>
      </c>
      <c r="M145" s="5">
        <f>IF(H145="","",IFERROR(INDEX(Szabályok!$F$13:$F$200,MATCH(H145,Szabályok!$A$13:$A$200,0)),""))</f>
        <v/>
      </c>
      <c r="N145" s="5">
        <f>IF(H145="","",IFERROR(INDEX(Szabályok!$G$13:$G$200,MATCH(H145,Szabályok!$A$13:$A$200,0)),""))</f>
        <v/>
      </c>
      <c r="O145" s="5">
        <f>IF(H145="","",IFERROR(INDEX(Szabályok!$H$13:$H$200,MATCH(H145,Szabályok!$A$13:$A$200,0)),""))</f>
        <v/>
      </c>
      <c r="P145" s="5" t="n"/>
      <c r="Q145" s="6" t="n"/>
      <c r="R145" s="6" t="n"/>
      <c r="S145" s="6">
        <f>IF(COUNT(Q145:R145)=0,"",SUM(Q145:R145))</f>
        <v/>
      </c>
      <c r="T145" s="6" t="n"/>
      <c r="U145" s="5">
        <f>IF(T145="","",IF(L145&lt;&gt;"IGEN","IGEN",IF(S145&gt;=T145,"IGEN","NEM")))</f>
        <v/>
      </c>
      <c r="V145" s="5" t="n"/>
      <c r="W145" s="5" t="n"/>
      <c r="X145" s="5" t="n"/>
      <c r="Y145" s="5" t="n"/>
      <c r="Z145" s="5">
        <f>IF(X145="","",IF(COUNTIFS($X$5:$X$304,X145,$I$5:$I$304,"&lt;"&amp;I145)=0,I145,""))</f>
        <v/>
      </c>
      <c r="AA145" s="5">
        <f>IF(X145="","",IF(COUNTIFS($X$5:$X$304,X145,$I$5:$I$304,"&lt;"&amp;I145)&gt;0,"NEM",IF(COUNTIFS($X$5:$X$304,X145,$I$5:$I$304,I145)=1,"IGEN",IF(Y145=1,"IGEN","NEM"))))</f>
        <v/>
      </c>
      <c r="AB145" s="5">
        <f>IF(OR(I145="",J145=""),"",IF(OR(I145=0,V145="IGEN",W145="IGEN"),"X",IF(AND(K145&lt;&gt;"IGEN",L145="IGEN",U145="NEM"),"X",IF(AA145="IGEN",J145,"X"))))</f>
        <v/>
      </c>
      <c r="AC145" s="5">
        <f>IF(AB145="X",0,IF(D145="","",D145))</f>
        <v/>
      </c>
      <c r="AD145" s="5">
        <f>IF(AB145="X",IF(D145="","",D145),0)</f>
        <v/>
      </c>
      <c r="AE145" s="6" t="n"/>
      <c r="AF145" s="6">
        <f>IF(E145="","",SUMIFS($AI$5:AI145,$E$5:E145,E145)-AI145)</f>
        <v/>
      </c>
      <c r="AG145" s="6">
        <f>IF(AE145="","",MAX(0,AE145-AF145))</f>
        <v/>
      </c>
      <c r="AH145" s="6">
        <f>IF(S145="","",IF(OR(I145=0,V145="IGEN",W145="IGEN"),0,IF(AND(K145&lt;&gt;"IGEN",L145="IGEN",U145="NEM"),0,S145)))</f>
        <v/>
      </c>
      <c r="AI145" s="6">
        <f>IF(AH145="","",IF(M145="IGEN",MIN(AH145,AG145),AH145))</f>
        <v/>
      </c>
      <c r="AJ145" s="5" t="n"/>
    </row>
    <row r="146">
      <c r="A146" s="5" t="n"/>
      <c r="B146" s="5" t="n"/>
      <c r="C146" s="5" t="n"/>
      <c r="D146" s="5">
        <f>IF(AND(B146&lt;&gt;"",C146&lt;&gt;""),C146-B146+1,"")</f>
        <v/>
      </c>
      <c r="E146" s="5">
        <f>IF(B146&lt;&gt;"",YEAR(B146),"")</f>
        <v/>
      </c>
      <c r="F146" s="6" t="n"/>
      <c r="G146" s="6" t="n"/>
      <c r="H146" s="6" t="n"/>
      <c r="I146" s="5">
        <f>IF(H146="","",IFERROR(INDEX(Szabályok!$B$13:$B$200,MATCH(H146,Szabályok!$A$13:$A$200,0)),""))</f>
        <v/>
      </c>
      <c r="J146" s="5">
        <f>IF(H146="","",IFERROR(INDEX(Szabályok!$C$13:$C$200,MATCH(H146,Szabályok!$A$13:$A$200,0)),""))</f>
        <v/>
      </c>
      <c r="K146" s="5">
        <f>IF(H146="","",IFERROR(INDEX(Szabályok!$D$13:$D$200,MATCH(H146,Szabályok!$A$13:$A$200,0)),""))</f>
        <v/>
      </c>
      <c r="L146" s="5">
        <f>IF(H146="","",IFERROR(INDEX(Szabályok!$E$13:$E$200,MATCH(H146,Szabályok!$A$13:$A$200,0)),""))</f>
        <v/>
      </c>
      <c r="M146" s="5">
        <f>IF(H146="","",IFERROR(INDEX(Szabályok!$F$13:$F$200,MATCH(H146,Szabályok!$A$13:$A$200,0)),""))</f>
        <v/>
      </c>
      <c r="N146" s="5">
        <f>IF(H146="","",IFERROR(INDEX(Szabályok!$G$13:$G$200,MATCH(H146,Szabályok!$A$13:$A$200,0)),""))</f>
        <v/>
      </c>
      <c r="O146" s="5">
        <f>IF(H146="","",IFERROR(INDEX(Szabályok!$H$13:$H$200,MATCH(H146,Szabályok!$A$13:$A$200,0)),""))</f>
        <v/>
      </c>
      <c r="P146" s="5" t="n"/>
      <c r="Q146" s="6" t="n"/>
      <c r="R146" s="6" t="n"/>
      <c r="S146" s="6">
        <f>IF(COUNT(Q146:R146)=0,"",SUM(Q146:R146))</f>
        <v/>
      </c>
      <c r="T146" s="6" t="n"/>
      <c r="U146" s="5">
        <f>IF(T146="","",IF(L146&lt;&gt;"IGEN","IGEN",IF(S146&gt;=T146,"IGEN","NEM")))</f>
        <v/>
      </c>
      <c r="V146" s="5" t="n"/>
      <c r="W146" s="5" t="n"/>
      <c r="X146" s="5" t="n"/>
      <c r="Y146" s="5" t="n"/>
      <c r="Z146" s="5">
        <f>IF(X146="","",IF(COUNTIFS($X$5:$X$304,X146,$I$5:$I$304,"&lt;"&amp;I146)=0,I146,""))</f>
        <v/>
      </c>
      <c r="AA146" s="5">
        <f>IF(X146="","",IF(COUNTIFS($X$5:$X$304,X146,$I$5:$I$304,"&lt;"&amp;I146)&gt;0,"NEM",IF(COUNTIFS($X$5:$X$304,X146,$I$5:$I$304,I146)=1,"IGEN",IF(Y146=1,"IGEN","NEM"))))</f>
        <v/>
      </c>
      <c r="AB146" s="5">
        <f>IF(OR(I146="",J146=""),"",IF(OR(I146=0,V146="IGEN",W146="IGEN"),"X",IF(AND(K146&lt;&gt;"IGEN",L146="IGEN",U146="NEM"),"X",IF(AA146="IGEN",J146,"X"))))</f>
        <v/>
      </c>
      <c r="AC146" s="5">
        <f>IF(AB146="X",0,IF(D146="","",D146))</f>
        <v/>
      </c>
      <c r="AD146" s="5">
        <f>IF(AB146="X",IF(D146="","",D146),0)</f>
        <v/>
      </c>
      <c r="AE146" s="6" t="n"/>
      <c r="AF146" s="6">
        <f>IF(E146="","",SUMIFS($AI$5:AI146,$E$5:E146,E146)-AI146)</f>
        <v/>
      </c>
      <c r="AG146" s="6">
        <f>IF(AE146="","",MAX(0,AE146-AF146))</f>
        <v/>
      </c>
      <c r="AH146" s="6">
        <f>IF(S146="","",IF(OR(I146=0,V146="IGEN",W146="IGEN"),0,IF(AND(K146&lt;&gt;"IGEN",L146="IGEN",U146="NEM"),0,S146)))</f>
        <v/>
      </c>
      <c r="AI146" s="6">
        <f>IF(AH146="","",IF(M146="IGEN",MIN(AH146,AG146),AH146))</f>
        <v/>
      </c>
      <c r="AJ146" s="5" t="n"/>
    </row>
    <row r="147">
      <c r="A147" s="5" t="n"/>
      <c r="B147" s="5" t="n"/>
      <c r="C147" s="5" t="n"/>
      <c r="D147" s="5">
        <f>IF(AND(B147&lt;&gt;"",C147&lt;&gt;""),C147-B147+1,"")</f>
        <v/>
      </c>
      <c r="E147" s="5">
        <f>IF(B147&lt;&gt;"",YEAR(B147),"")</f>
        <v/>
      </c>
      <c r="F147" s="6" t="n"/>
      <c r="G147" s="6" t="n"/>
      <c r="H147" s="6" t="n"/>
      <c r="I147" s="5">
        <f>IF(H147="","",IFERROR(INDEX(Szabályok!$B$13:$B$200,MATCH(H147,Szabályok!$A$13:$A$200,0)),""))</f>
        <v/>
      </c>
      <c r="J147" s="5">
        <f>IF(H147="","",IFERROR(INDEX(Szabályok!$C$13:$C$200,MATCH(H147,Szabályok!$A$13:$A$200,0)),""))</f>
        <v/>
      </c>
      <c r="K147" s="5">
        <f>IF(H147="","",IFERROR(INDEX(Szabályok!$D$13:$D$200,MATCH(H147,Szabályok!$A$13:$A$200,0)),""))</f>
        <v/>
      </c>
      <c r="L147" s="5">
        <f>IF(H147="","",IFERROR(INDEX(Szabályok!$E$13:$E$200,MATCH(H147,Szabályok!$A$13:$A$200,0)),""))</f>
        <v/>
      </c>
      <c r="M147" s="5">
        <f>IF(H147="","",IFERROR(INDEX(Szabályok!$F$13:$F$200,MATCH(H147,Szabályok!$A$13:$A$200,0)),""))</f>
        <v/>
      </c>
      <c r="N147" s="5">
        <f>IF(H147="","",IFERROR(INDEX(Szabályok!$G$13:$G$200,MATCH(H147,Szabályok!$A$13:$A$200,0)),""))</f>
        <v/>
      </c>
      <c r="O147" s="5">
        <f>IF(H147="","",IFERROR(INDEX(Szabályok!$H$13:$H$200,MATCH(H147,Szabályok!$A$13:$A$200,0)),""))</f>
        <v/>
      </c>
      <c r="P147" s="5" t="n"/>
      <c r="Q147" s="6" t="n"/>
      <c r="R147" s="6" t="n"/>
      <c r="S147" s="6">
        <f>IF(COUNT(Q147:R147)=0,"",SUM(Q147:R147))</f>
        <v/>
      </c>
      <c r="T147" s="6" t="n"/>
      <c r="U147" s="5">
        <f>IF(T147="","",IF(L147&lt;&gt;"IGEN","IGEN",IF(S147&gt;=T147,"IGEN","NEM")))</f>
        <v/>
      </c>
      <c r="V147" s="5" t="n"/>
      <c r="W147" s="5" t="n"/>
      <c r="X147" s="5" t="n"/>
      <c r="Y147" s="5" t="n"/>
      <c r="Z147" s="5">
        <f>IF(X147="","",IF(COUNTIFS($X$5:$X$304,X147,$I$5:$I$304,"&lt;"&amp;I147)=0,I147,""))</f>
        <v/>
      </c>
      <c r="AA147" s="5">
        <f>IF(X147="","",IF(COUNTIFS($X$5:$X$304,X147,$I$5:$I$304,"&lt;"&amp;I147)&gt;0,"NEM",IF(COUNTIFS($X$5:$X$304,X147,$I$5:$I$304,I147)=1,"IGEN",IF(Y147=1,"IGEN","NEM"))))</f>
        <v/>
      </c>
      <c r="AB147" s="5">
        <f>IF(OR(I147="",J147=""),"",IF(OR(I147=0,V147="IGEN",W147="IGEN"),"X",IF(AND(K147&lt;&gt;"IGEN",L147="IGEN",U147="NEM"),"X",IF(AA147="IGEN",J147,"X"))))</f>
        <v/>
      </c>
      <c r="AC147" s="5">
        <f>IF(AB147="X",0,IF(D147="","",D147))</f>
        <v/>
      </c>
      <c r="AD147" s="5">
        <f>IF(AB147="X",IF(D147="","",D147),0)</f>
        <v/>
      </c>
      <c r="AE147" s="6" t="n"/>
      <c r="AF147" s="6">
        <f>IF(E147="","",SUMIFS($AI$5:AI147,$E$5:E147,E147)-AI147)</f>
        <v/>
      </c>
      <c r="AG147" s="6">
        <f>IF(AE147="","",MAX(0,AE147-AF147))</f>
        <v/>
      </c>
      <c r="AH147" s="6">
        <f>IF(S147="","",IF(OR(I147=0,V147="IGEN",W147="IGEN"),0,IF(AND(K147&lt;&gt;"IGEN",L147="IGEN",U147="NEM"),0,S147)))</f>
        <v/>
      </c>
      <c r="AI147" s="6">
        <f>IF(AH147="","",IF(M147="IGEN",MIN(AH147,AG147),AH147))</f>
        <v/>
      </c>
      <c r="AJ147" s="5" t="n"/>
    </row>
    <row r="148">
      <c r="A148" s="5" t="n"/>
      <c r="B148" s="5" t="n"/>
      <c r="C148" s="5" t="n"/>
      <c r="D148" s="5">
        <f>IF(AND(B148&lt;&gt;"",C148&lt;&gt;""),C148-B148+1,"")</f>
        <v/>
      </c>
      <c r="E148" s="5">
        <f>IF(B148&lt;&gt;"",YEAR(B148),"")</f>
        <v/>
      </c>
      <c r="F148" s="6" t="n"/>
      <c r="G148" s="6" t="n"/>
      <c r="H148" s="6" t="n"/>
      <c r="I148" s="5">
        <f>IF(H148="","",IFERROR(INDEX(Szabályok!$B$13:$B$200,MATCH(H148,Szabályok!$A$13:$A$200,0)),""))</f>
        <v/>
      </c>
      <c r="J148" s="5">
        <f>IF(H148="","",IFERROR(INDEX(Szabályok!$C$13:$C$200,MATCH(H148,Szabályok!$A$13:$A$200,0)),""))</f>
        <v/>
      </c>
      <c r="K148" s="5">
        <f>IF(H148="","",IFERROR(INDEX(Szabályok!$D$13:$D$200,MATCH(H148,Szabályok!$A$13:$A$200,0)),""))</f>
        <v/>
      </c>
      <c r="L148" s="5">
        <f>IF(H148="","",IFERROR(INDEX(Szabályok!$E$13:$E$200,MATCH(H148,Szabályok!$A$13:$A$200,0)),""))</f>
        <v/>
      </c>
      <c r="M148" s="5">
        <f>IF(H148="","",IFERROR(INDEX(Szabályok!$F$13:$F$200,MATCH(H148,Szabályok!$A$13:$A$200,0)),""))</f>
        <v/>
      </c>
      <c r="N148" s="5">
        <f>IF(H148="","",IFERROR(INDEX(Szabályok!$G$13:$G$200,MATCH(H148,Szabályok!$A$13:$A$200,0)),""))</f>
        <v/>
      </c>
      <c r="O148" s="5">
        <f>IF(H148="","",IFERROR(INDEX(Szabályok!$H$13:$H$200,MATCH(H148,Szabályok!$A$13:$A$200,0)),""))</f>
        <v/>
      </c>
      <c r="P148" s="5" t="n"/>
      <c r="Q148" s="6" t="n"/>
      <c r="R148" s="6" t="n"/>
      <c r="S148" s="6">
        <f>IF(COUNT(Q148:R148)=0,"",SUM(Q148:R148))</f>
        <v/>
      </c>
      <c r="T148" s="6" t="n"/>
      <c r="U148" s="5">
        <f>IF(T148="","",IF(L148&lt;&gt;"IGEN","IGEN",IF(S148&gt;=T148,"IGEN","NEM")))</f>
        <v/>
      </c>
      <c r="V148" s="5" t="n"/>
      <c r="W148" s="5" t="n"/>
      <c r="X148" s="5" t="n"/>
      <c r="Y148" s="5" t="n"/>
      <c r="Z148" s="5">
        <f>IF(X148="","",IF(COUNTIFS($X$5:$X$304,X148,$I$5:$I$304,"&lt;"&amp;I148)=0,I148,""))</f>
        <v/>
      </c>
      <c r="AA148" s="5">
        <f>IF(X148="","",IF(COUNTIFS($X$5:$X$304,X148,$I$5:$I$304,"&lt;"&amp;I148)&gt;0,"NEM",IF(COUNTIFS($X$5:$X$304,X148,$I$5:$I$304,I148)=1,"IGEN",IF(Y148=1,"IGEN","NEM"))))</f>
        <v/>
      </c>
      <c r="AB148" s="5">
        <f>IF(OR(I148="",J148=""),"",IF(OR(I148=0,V148="IGEN",W148="IGEN"),"X",IF(AND(K148&lt;&gt;"IGEN",L148="IGEN",U148="NEM"),"X",IF(AA148="IGEN",J148,"X"))))</f>
        <v/>
      </c>
      <c r="AC148" s="5">
        <f>IF(AB148="X",0,IF(D148="","",D148))</f>
        <v/>
      </c>
      <c r="AD148" s="5">
        <f>IF(AB148="X",IF(D148="","",D148),0)</f>
        <v/>
      </c>
      <c r="AE148" s="6" t="n"/>
      <c r="AF148" s="6">
        <f>IF(E148="","",SUMIFS($AI$5:AI148,$E$5:E148,E148)-AI148)</f>
        <v/>
      </c>
      <c r="AG148" s="6">
        <f>IF(AE148="","",MAX(0,AE148-AF148))</f>
        <v/>
      </c>
      <c r="AH148" s="6">
        <f>IF(S148="","",IF(OR(I148=0,V148="IGEN",W148="IGEN"),0,IF(AND(K148&lt;&gt;"IGEN",L148="IGEN",U148="NEM"),0,S148)))</f>
        <v/>
      </c>
      <c r="AI148" s="6">
        <f>IF(AH148="","",IF(M148="IGEN",MIN(AH148,AG148),AH148))</f>
        <v/>
      </c>
      <c r="AJ148" s="5" t="n"/>
    </row>
    <row r="149">
      <c r="A149" s="5" t="n"/>
      <c r="B149" s="5" t="n"/>
      <c r="C149" s="5" t="n"/>
      <c r="D149" s="5">
        <f>IF(AND(B149&lt;&gt;"",C149&lt;&gt;""),C149-B149+1,"")</f>
        <v/>
      </c>
      <c r="E149" s="5">
        <f>IF(B149&lt;&gt;"",YEAR(B149),"")</f>
        <v/>
      </c>
      <c r="F149" s="6" t="n"/>
      <c r="G149" s="6" t="n"/>
      <c r="H149" s="6" t="n"/>
      <c r="I149" s="5">
        <f>IF(H149="","",IFERROR(INDEX(Szabályok!$B$13:$B$200,MATCH(H149,Szabályok!$A$13:$A$200,0)),""))</f>
        <v/>
      </c>
      <c r="J149" s="5">
        <f>IF(H149="","",IFERROR(INDEX(Szabályok!$C$13:$C$200,MATCH(H149,Szabályok!$A$13:$A$200,0)),""))</f>
        <v/>
      </c>
      <c r="K149" s="5">
        <f>IF(H149="","",IFERROR(INDEX(Szabályok!$D$13:$D$200,MATCH(H149,Szabályok!$A$13:$A$200,0)),""))</f>
        <v/>
      </c>
      <c r="L149" s="5">
        <f>IF(H149="","",IFERROR(INDEX(Szabályok!$E$13:$E$200,MATCH(H149,Szabályok!$A$13:$A$200,0)),""))</f>
        <v/>
      </c>
      <c r="M149" s="5">
        <f>IF(H149="","",IFERROR(INDEX(Szabályok!$F$13:$F$200,MATCH(H149,Szabályok!$A$13:$A$200,0)),""))</f>
        <v/>
      </c>
      <c r="N149" s="5">
        <f>IF(H149="","",IFERROR(INDEX(Szabályok!$G$13:$G$200,MATCH(H149,Szabályok!$A$13:$A$200,0)),""))</f>
        <v/>
      </c>
      <c r="O149" s="5">
        <f>IF(H149="","",IFERROR(INDEX(Szabályok!$H$13:$H$200,MATCH(H149,Szabályok!$A$13:$A$200,0)),""))</f>
        <v/>
      </c>
      <c r="P149" s="5" t="n"/>
      <c r="Q149" s="6" t="n"/>
      <c r="R149" s="6" t="n"/>
      <c r="S149" s="6">
        <f>IF(COUNT(Q149:R149)=0,"",SUM(Q149:R149))</f>
        <v/>
      </c>
      <c r="T149" s="6" t="n"/>
      <c r="U149" s="5">
        <f>IF(T149="","",IF(L149&lt;&gt;"IGEN","IGEN",IF(S149&gt;=T149,"IGEN","NEM")))</f>
        <v/>
      </c>
      <c r="V149" s="5" t="n"/>
      <c r="W149" s="5" t="n"/>
      <c r="X149" s="5" t="n"/>
      <c r="Y149" s="5" t="n"/>
      <c r="Z149" s="5">
        <f>IF(X149="","",IF(COUNTIFS($X$5:$X$304,X149,$I$5:$I$304,"&lt;"&amp;I149)=0,I149,""))</f>
        <v/>
      </c>
      <c r="AA149" s="5">
        <f>IF(X149="","",IF(COUNTIFS($X$5:$X$304,X149,$I$5:$I$304,"&lt;"&amp;I149)&gt;0,"NEM",IF(COUNTIFS($X$5:$X$304,X149,$I$5:$I$304,I149)=1,"IGEN",IF(Y149=1,"IGEN","NEM"))))</f>
        <v/>
      </c>
      <c r="AB149" s="5">
        <f>IF(OR(I149="",J149=""),"",IF(OR(I149=0,V149="IGEN",W149="IGEN"),"X",IF(AND(K149&lt;&gt;"IGEN",L149="IGEN",U149="NEM"),"X",IF(AA149="IGEN",J149,"X"))))</f>
        <v/>
      </c>
      <c r="AC149" s="5">
        <f>IF(AB149="X",0,IF(D149="","",D149))</f>
        <v/>
      </c>
      <c r="AD149" s="5">
        <f>IF(AB149="X",IF(D149="","",D149),0)</f>
        <v/>
      </c>
      <c r="AE149" s="6" t="n"/>
      <c r="AF149" s="6">
        <f>IF(E149="","",SUMIFS($AI$5:AI149,$E$5:E149,E149)-AI149)</f>
        <v/>
      </c>
      <c r="AG149" s="6">
        <f>IF(AE149="","",MAX(0,AE149-AF149))</f>
        <v/>
      </c>
      <c r="AH149" s="6">
        <f>IF(S149="","",IF(OR(I149=0,V149="IGEN",W149="IGEN"),0,IF(AND(K149&lt;&gt;"IGEN",L149="IGEN",U149="NEM"),0,S149)))</f>
        <v/>
      </c>
      <c r="AI149" s="6">
        <f>IF(AH149="","",IF(M149="IGEN",MIN(AH149,AG149),AH149))</f>
        <v/>
      </c>
      <c r="AJ149" s="5" t="n"/>
    </row>
    <row r="150">
      <c r="A150" s="5" t="n"/>
      <c r="B150" s="5" t="n"/>
      <c r="C150" s="5" t="n"/>
      <c r="D150" s="5">
        <f>IF(AND(B150&lt;&gt;"",C150&lt;&gt;""),C150-B150+1,"")</f>
        <v/>
      </c>
      <c r="E150" s="5">
        <f>IF(B150&lt;&gt;"",YEAR(B150),"")</f>
        <v/>
      </c>
      <c r="F150" s="6" t="n"/>
      <c r="G150" s="6" t="n"/>
      <c r="H150" s="6" t="n"/>
      <c r="I150" s="5">
        <f>IF(H150="","",IFERROR(INDEX(Szabályok!$B$13:$B$200,MATCH(H150,Szabályok!$A$13:$A$200,0)),""))</f>
        <v/>
      </c>
      <c r="J150" s="5">
        <f>IF(H150="","",IFERROR(INDEX(Szabályok!$C$13:$C$200,MATCH(H150,Szabályok!$A$13:$A$200,0)),""))</f>
        <v/>
      </c>
      <c r="K150" s="5">
        <f>IF(H150="","",IFERROR(INDEX(Szabályok!$D$13:$D$200,MATCH(H150,Szabályok!$A$13:$A$200,0)),""))</f>
        <v/>
      </c>
      <c r="L150" s="5">
        <f>IF(H150="","",IFERROR(INDEX(Szabályok!$E$13:$E$200,MATCH(H150,Szabályok!$A$13:$A$200,0)),""))</f>
        <v/>
      </c>
      <c r="M150" s="5">
        <f>IF(H150="","",IFERROR(INDEX(Szabályok!$F$13:$F$200,MATCH(H150,Szabályok!$A$13:$A$200,0)),""))</f>
        <v/>
      </c>
      <c r="N150" s="5">
        <f>IF(H150="","",IFERROR(INDEX(Szabályok!$G$13:$G$200,MATCH(H150,Szabályok!$A$13:$A$200,0)),""))</f>
        <v/>
      </c>
      <c r="O150" s="5">
        <f>IF(H150="","",IFERROR(INDEX(Szabályok!$H$13:$H$200,MATCH(H150,Szabályok!$A$13:$A$200,0)),""))</f>
        <v/>
      </c>
      <c r="P150" s="5" t="n"/>
      <c r="Q150" s="6" t="n"/>
      <c r="R150" s="6" t="n"/>
      <c r="S150" s="6">
        <f>IF(COUNT(Q150:R150)=0,"",SUM(Q150:R150))</f>
        <v/>
      </c>
      <c r="T150" s="6" t="n"/>
      <c r="U150" s="5">
        <f>IF(T150="","",IF(L150&lt;&gt;"IGEN","IGEN",IF(S150&gt;=T150,"IGEN","NEM")))</f>
        <v/>
      </c>
      <c r="V150" s="5" t="n"/>
      <c r="W150" s="5" t="n"/>
      <c r="X150" s="5" t="n"/>
      <c r="Y150" s="5" t="n"/>
      <c r="Z150" s="5">
        <f>IF(X150="","",IF(COUNTIFS($X$5:$X$304,X150,$I$5:$I$304,"&lt;"&amp;I150)=0,I150,""))</f>
        <v/>
      </c>
      <c r="AA150" s="5">
        <f>IF(X150="","",IF(COUNTIFS($X$5:$X$304,X150,$I$5:$I$304,"&lt;"&amp;I150)&gt;0,"NEM",IF(COUNTIFS($X$5:$X$304,X150,$I$5:$I$304,I150)=1,"IGEN",IF(Y150=1,"IGEN","NEM"))))</f>
        <v/>
      </c>
      <c r="AB150" s="5">
        <f>IF(OR(I150="",J150=""),"",IF(OR(I150=0,V150="IGEN",W150="IGEN"),"X",IF(AND(K150&lt;&gt;"IGEN",L150="IGEN",U150="NEM"),"X",IF(AA150="IGEN",J150,"X"))))</f>
        <v/>
      </c>
      <c r="AC150" s="5">
        <f>IF(AB150="X",0,IF(D150="","",D150))</f>
        <v/>
      </c>
      <c r="AD150" s="5">
        <f>IF(AB150="X",IF(D150="","",D150),0)</f>
        <v/>
      </c>
      <c r="AE150" s="6" t="n"/>
      <c r="AF150" s="6">
        <f>IF(E150="","",SUMIFS($AI$5:AI150,$E$5:E150,E150)-AI150)</f>
        <v/>
      </c>
      <c r="AG150" s="6">
        <f>IF(AE150="","",MAX(0,AE150-AF150))</f>
        <v/>
      </c>
      <c r="AH150" s="6">
        <f>IF(S150="","",IF(OR(I150=0,V150="IGEN",W150="IGEN"),0,IF(AND(K150&lt;&gt;"IGEN",L150="IGEN",U150="NEM"),0,S150)))</f>
        <v/>
      </c>
      <c r="AI150" s="6">
        <f>IF(AH150="","",IF(M150="IGEN",MIN(AH150,AG150),AH150))</f>
        <v/>
      </c>
      <c r="AJ150" s="5" t="n"/>
    </row>
    <row r="151">
      <c r="A151" s="5" t="n"/>
      <c r="B151" s="5" t="n"/>
      <c r="C151" s="5" t="n"/>
      <c r="D151" s="5">
        <f>IF(AND(B151&lt;&gt;"",C151&lt;&gt;""),C151-B151+1,"")</f>
        <v/>
      </c>
      <c r="E151" s="5">
        <f>IF(B151&lt;&gt;"",YEAR(B151),"")</f>
        <v/>
      </c>
      <c r="F151" s="6" t="n"/>
      <c r="G151" s="6" t="n"/>
      <c r="H151" s="6" t="n"/>
      <c r="I151" s="5">
        <f>IF(H151="","",IFERROR(INDEX(Szabályok!$B$13:$B$200,MATCH(H151,Szabályok!$A$13:$A$200,0)),""))</f>
        <v/>
      </c>
      <c r="J151" s="5">
        <f>IF(H151="","",IFERROR(INDEX(Szabályok!$C$13:$C$200,MATCH(H151,Szabályok!$A$13:$A$200,0)),""))</f>
        <v/>
      </c>
      <c r="K151" s="5">
        <f>IF(H151="","",IFERROR(INDEX(Szabályok!$D$13:$D$200,MATCH(H151,Szabályok!$A$13:$A$200,0)),""))</f>
        <v/>
      </c>
      <c r="L151" s="5">
        <f>IF(H151="","",IFERROR(INDEX(Szabályok!$E$13:$E$200,MATCH(H151,Szabályok!$A$13:$A$200,0)),""))</f>
        <v/>
      </c>
      <c r="M151" s="5">
        <f>IF(H151="","",IFERROR(INDEX(Szabályok!$F$13:$F$200,MATCH(H151,Szabályok!$A$13:$A$200,0)),""))</f>
        <v/>
      </c>
      <c r="N151" s="5">
        <f>IF(H151="","",IFERROR(INDEX(Szabályok!$G$13:$G$200,MATCH(H151,Szabályok!$A$13:$A$200,0)),""))</f>
        <v/>
      </c>
      <c r="O151" s="5">
        <f>IF(H151="","",IFERROR(INDEX(Szabályok!$H$13:$H$200,MATCH(H151,Szabályok!$A$13:$A$200,0)),""))</f>
        <v/>
      </c>
      <c r="P151" s="5" t="n"/>
      <c r="Q151" s="6" t="n"/>
      <c r="R151" s="6" t="n"/>
      <c r="S151" s="6">
        <f>IF(COUNT(Q151:R151)=0,"",SUM(Q151:R151))</f>
        <v/>
      </c>
      <c r="T151" s="6" t="n"/>
      <c r="U151" s="5">
        <f>IF(T151="","",IF(L151&lt;&gt;"IGEN","IGEN",IF(S151&gt;=T151,"IGEN","NEM")))</f>
        <v/>
      </c>
      <c r="V151" s="5" t="n"/>
      <c r="W151" s="5" t="n"/>
      <c r="X151" s="5" t="n"/>
      <c r="Y151" s="5" t="n"/>
      <c r="Z151" s="5">
        <f>IF(X151="","",IF(COUNTIFS($X$5:$X$304,X151,$I$5:$I$304,"&lt;"&amp;I151)=0,I151,""))</f>
        <v/>
      </c>
      <c r="AA151" s="5">
        <f>IF(X151="","",IF(COUNTIFS($X$5:$X$304,X151,$I$5:$I$304,"&lt;"&amp;I151)&gt;0,"NEM",IF(COUNTIFS($X$5:$X$304,X151,$I$5:$I$304,I151)=1,"IGEN",IF(Y151=1,"IGEN","NEM"))))</f>
        <v/>
      </c>
      <c r="AB151" s="5">
        <f>IF(OR(I151="",J151=""),"",IF(OR(I151=0,V151="IGEN",W151="IGEN"),"X",IF(AND(K151&lt;&gt;"IGEN",L151="IGEN",U151="NEM"),"X",IF(AA151="IGEN",J151,"X"))))</f>
        <v/>
      </c>
      <c r="AC151" s="5">
        <f>IF(AB151="X",0,IF(D151="","",D151))</f>
        <v/>
      </c>
      <c r="AD151" s="5">
        <f>IF(AB151="X",IF(D151="","",D151),0)</f>
        <v/>
      </c>
      <c r="AE151" s="6" t="n"/>
      <c r="AF151" s="6">
        <f>IF(E151="","",SUMIFS($AI$5:AI151,$E$5:E151,E151)-AI151)</f>
        <v/>
      </c>
      <c r="AG151" s="6">
        <f>IF(AE151="","",MAX(0,AE151-AF151))</f>
        <v/>
      </c>
      <c r="AH151" s="6">
        <f>IF(S151="","",IF(OR(I151=0,V151="IGEN",W151="IGEN"),0,IF(AND(K151&lt;&gt;"IGEN",L151="IGEN",U151="NEM"),0,S151)))</f>
        <v/>
      </c>
      <c r="AI151" s="6">
        <f>IF(AH151="","",IF(M151="IGEN",MIN(AH151,AG151),AH151))</f>
        <v/>
      </c>
      <c r="AJ151" s="5" t="n"/>
    </row>
    <row r="152">
      <c r="A152" s="5" t="n"/>
      <c r="B152" s="5" t="n"/>
      <c r="C152" s="5" t="n"/>
      <c r="D152" s="5">
        <f>IF(AND(B152&lt;&gt;"",C152&lt;&gt;""),C152-B152+1,"")</f>
        <v/>
      </c>
      <c r="E152" s="5">
        <f>IF(B152&lt;&gt;"",YEAR(B152),"")</f>
        <v/>
      </c>
      <c r="F152" s="6" t="n"/>
      <c r="G152" s="6" t="n"/>
      <c r="H152" s="6" t="n"/>
      <c r="I152" s="5">
        <f>IF(H152="","",IFERROR(INDEX(Szabályok!$B$13:$B$200,MATCH(H152,Szabályok!$A$13:$A$200,0)),""))</f>
        <v/>
      </c>
      <c r="J152" s="5">
        <f>IF(H152="","",IFERROR(INDEX(Szabályok!$C$13:$C$200,MATCH(H152,Szabályok!$A$13:$A$200,0)),""))</f>
        <v/>
      </c>
      <c r="K152" s="5">
        <f>IF(H152="","",IFERROR(INDEX(Szabályok!$D$13:$D$200,MATCH(H152,Szabályok!$A$13:$A$200,0)),""))</f>
        <v/>
      </c>
      <c r="L152" s="5">
        <f>IF(H152="","",IFERROR(INDEX(Szabályok!$E$13:$E$200,MATCH(H152,Szabályok!$A$13:$A$200,0)),""))</f>
        <v/>
      </c>
      <c r="M152" s="5">
        <f>IF(H152="","",IFERROR(INDEX(Szabályok!$F$13:$F$200,MATCH(H152,Szabályok!$A$13:$A$200,0)),""))</f>
        <v/>
      </c>
      <c r="N152" s="5">
        <f>IF(H152="","",IFERROR(INDEX(Szabályok!$G$13:$G$200,MATCH(H152,Szabályok!$A$13:$A$200,0)),""))</f>
        <v/>
      </c>
      <c r="O152" s="5">
        <f>IF(H152="","",IFERROR(INDEX(Szabályok!$H$13:$H$200,MATCH(H152,Szabályok!$A$13:$A$200,0)),""))</f>
        <v/>
      </c>
      <c r="P152" s="5" t="n"/>
      <c r="Q152" s="6" t="n"/>
      <c r="R152" s="6" t="n"/>
      <c r="S152" s="6">
        <f>IF(COUNT(Q152:R152)=0,"",SUM(Q152:R152))</f>
        <v/>
      </c>
      <c r="T152" s="6" t="n"/>
      <c r="U152" s="5">
        <f>IF(T152="","",IF(L152&lt;&gt;"IGEN","IGEN",IF(S152&gt;=T152,"IGEN","NEM")))</f>
        <v/>
      </c>
      <c r="V152" s="5" t="n"/>
      <c r="W152" s="5" t="n"/>
      <c r="X152" s="5" t="n"/>
      <c r="Y152" s="5" t="n"/>
      <c r="Z152" s="5">
        <f>IF(X152="","",IF(COUNTIFS($X$5:$X$304,X152,$I$5:$I$304,"&lt;"&amp;I152)=0,I152,""))</f>
        <v/>
      </c>
      <c r="AA152" s="5">
        <f>IF(X152="","",IF(COUNTIFS($X$5:$X$304,X152,$I$5:$I$304,"&lt;"&amp;I152)&gt;0,"NEM",IF(COUNTIFS($X$5:$X$304,X152,$I$5:$I$304,I152)=1,"IGEN",IF(Y152=1,"IGEN","NEM"))))</f>
        <v/>
      </c>
      <c r="AB152" s="5">
        <f>IF(OR(I152="",J152=""),"",IF(OR(I152=0,V152="IGEN",W152="IGEN"),"X",IF(AND(K152&lt;&gt;"IGEN",L152="IGEN",U152="NEM"),"X",IF(AA152="IGEN",J152,"X"))))</f>
        <v/>
      </c>
      <c r="AC152" s="5">
        <f>IF(AB152="X",0,IF(D152="","",D152))</f>
        <v/>
      </c>
      <c r="AD152" s="5">
        <f>IF(AB152="X",IF(D152="","",D152),0)</f>
        <v/>
      </c>
      <c r="AE152" s="6" t="n"/>
      <c r="AF152" s="6">
        <f>IF(E152="","",SUMIFS($AI$5:AI152,$E$5:E152,E152)-AI152)</f>
        <v/>
      </c>
      <c r="AG152" s="6">
        <f>IF(AE152="","",MAX(0,AE152-AF152))</f>
        <v/>
      </c>
      <c r="AH152" s="6">
        <f>IF(S152="","",IF(OR(I152=0,V152="IGEN",W152="IGEN"),0,IF(AND(K152&lt;&gt;"IGEN",L152="IGEN",U152="NEM"),0,S152)))</f>
        <v/>
      </c>
      <c r="AI152" s="6">
        <f>IF(AH152="","",IF(M152="IGEN",MIN(AH152,AG152),AH152))</f>
        <v/>
      </c>
      <c r="AJ152" s="5" t="n"/>
    </row>
    <row r="153">
      <c r="A153" s="5" t="n"/>
      <c r="B153" s="5" t="n"/>
      <c r="C153" s="5" t="n"/>
      <c r="D153" s="5">
        <f>IF(AND(B153&lt;&gt;"",C153&lt;&gt;""),C153-B153+1,"")</f>
        <v/>
      </c>
      <c r="E153" s="5">
        <f>IF(B153&lt;&gt;"",YEAR(B153),"")</f>
        <v/>
      </c>
      <c r="F153" s="6" t="n"/>
      <c r="G153" s="6" t="n"/>
      <c r="H153" s="6" t="n"/>
      <c r="I153" s="5">
        <f>IF(H153="","",IFERROR(INDEX(Szabályok!$B$13:$B$200,MATCH(H153,Szabályok!$A$13:$A$200,0)),""))</f>
        <v/>
      </c>
      <c r="J153" s="5">
        <f>IF(H153="","",IFERROR(INDEX(Szabályok!$C$13:$C$200,MATCH(H153,Szabályok!$A$13:$A$200,0)),""))</f>
        <v/>
      </c>
      <c r="K153" s="5">
        <f>IF(H153="","",IFERROR(INDEX(Szabályok!$D$13:$D$200,MATCH(H153,Szabályok!$A$13:$A$200,0)),""))</f>
        <v/>
      </c>
      <c r="L153" s="5">
        <f>IF(H153="","",IFERROR(INDEX(Szabályok!$E$13:$E$200,MATCH(H153,Szabályok!$A$13:$A$200,0)),""))</f>
        <v/>
      </c>
      <c r="M153" s="5">
        <f>IF(H153="","",IFERROR(INDEX(Szabályok!$F$13:$F$200,MATCH(H153,Szabályok!$A$13:$A$200,0)),""))</f>
        <v/>
      </c>
      <c r="N153" s="5">
        <f>IF(H153="","",IFERROR(INDEX(Szabályok!$G$13:$G$200,MATCH(H153,Szabályok!$A$13:$A$200,0)),""))</f>
        <v/>
      </c>
      <c r="O153" s="5">
        <f>IF(H153="","",IFERROR(INDEX(Szabályok!$H$13:$H$200,MATCH(H153,Szabályok!$A$13:$A$200,0)),""))</f>
        <v/>
      </c>
      <c r="P153" s="5" t="n"/>
      <c r="Q153" s="6" t="n"/>
      <c r="R153" s="6" t="n"/>
      <c r="S153" s="6">
        <f>IF(COUNT(Q153:R153)=0,"",SUM(Q153:R153))</f>
        <v/>
      </c>
      <c r="T153" s="6" t="n"/>
      <c r="U153" s="5">
        <f>IF(T153="","",IF(L153&lt;&gt;"IGEN","IGEN",IF(S153&gt;=T153,"IGEN","NEM")))</f>
        <v/>
      </c>
      <c r="V153" s="5" t="n"/>
      <c r="W153" s="5" t="n"/>
      <c r="X153" s="5" t="n"/>
      <c r="Y153" s="5" t="n"/>
      <c r="Z153" s="5">
        <f>IF(X153="","",IF(COUNTIFS($X$5:$X$304,X153,$I$5:$I$304,"&lt;"&amp;I153)=0,I153,""))</f>
        <v/>
      </c>
      <c r="AA153" s="5">
        <f>IF(X153="","",IF(COUNTIFS($X$5:$X$304,X153,$I$5:$I$304,"&lt;"&amp;I153)&gt;0,"NEM",IF(COUNTIFS($X$5:$X$304,X153,$I$5:$I$304,I153)=1,"IGEN",IF(Y153=1,"IGEN","NEM"))))</f>
        <v/>
      </c>
      <c r="AB153" s="5">
        <f>IF(OR(I153="",J153=""),"",IF(OR(I153=0,V153="IGEN",W153="IGEN"),"X",IF(AND(K153&lt;&gt;"IGEN",L153="IGEN",U153="NEM"),"X",IF(AA153="IGEN",J153,"X"))))</f>
        <v/>
      </c>
      <c r="AC153" s="5">
        <f>IF(AB153="X",0,IF(D153="","",D153))</f>
        <v/>
      </c>
      <c r="AD153" s="5">
        <f>IF(AB153="X",IF(D153="","",D153),0)</f>
        <v/>
      </c>
      <c r="AE153" s="6" t="n"/>
      <c r="AF153" s="6">
        <f>IF(E153="","",SUMIFS($AI$5:AI153,$E$5:E153,E153)-AI153)</f>
        <v/>
      </c>
      <c r="AG153" s="6">
        <f>IF(AE153="","",MAX(0,AE153-AF153))</f>
        <v/>
      </c>
      <c r="AH153" s="6">
        <f>IF(S153="","",IF(OR(I153=0,V153="IGEN",W153="IGEN"),0,IF(AND(K153&lt;&gt;"IGEN",L153="IGEN",U153="NEM"),0,S153)))</f>
        <v/>
      </c>
      <c r="AI153" s="6">
        <f>IF(AH153="","",IF(M153="IGEN",MIN(AH153,AG153),AH153))</f>
        <v/>
      </c>
      <c r="AJ153" s="5" t="n"/>
    </row>
    <row r="154">
      <c r="A154" s="5" t="n"/>
      <c r="B154" s="5" t="n"/>
      <c r="C154" s="5" t="n"/>
      <c r="D154" s="5">
        <f>IF(AND(B154&lt;&gt;"",C154&lt;&gt;""),C154-B154+1,"")</f>
        <v/>
      </c>
      <c r="E154" s="5">
        <f>IF(B154&lt;&gt;"",YEAR(B154),"")</f>
        <v/>
      </c>
      <c r="F154" s="6" t="n"/>
      <c r="G154" s="6" t="n"/>
      <c r="H154" s="6" t="n"/>
      <c r="I154" s="5">
        <f>IF(H154="","",IFERROR(INDEX(Szabályok!$B$13:$B$200,MATCH(H154,Szabályok!$A$13:$A$200,0)),""))</f>
        <v/>
      </c>
      <c r="J154" s="5">
        <f>IF(H154="","",IFERROR(INDEX(Szabályok!$C$13:$C$200,MATCH(H154,Szabályok!$A$13:$A$200,0)),""))</f>
        <v/>
      </c>
      <c r="K154" s="5">
        <f>IF(H154="","",IFERROR(INDEX(Szabályok!$D$13:$D$200,MATCH(H154,Szabályok!$A$13:$A$200,0)),""))</f>
        <v/>
      </c>
      <c r="L154" s="5">
        <f>IF(H154="","",IFERROR(INDEX(Szabályok!$E$13:$E$200,MATCH(H154,Szabályok!$A$13:$A$200,0)),""))</f>
        <v/>
      </c>
      <c r="M154" s="5">
        <f>IF(H154="","",IFERROR(INDEX(Szabályok!$F$13:$F$200,MATCH(H154,Szabályok!$A$13:$A$200,0)),""))</f>
        <v/>
      </c>
      <c r="N154" s="5">
        <f>IF(H154="","",IFERROR(INDEX(Szabályok!$G$13:$G$200,MATCH(H154,Szabályok!$A$13:$A$200,0)),""))</f>
        <v/>
      </c>
      <c r="O154" s="5">
        <f>IF(H154="","",IFERROR(INDEX(Szabályok!$H$13:$H$200,MATCH(H154,Szabályok!$A$13:$A$200,0)),""))</f>
        <v/>
      </c>
      <c r="P154" s="5" t="n"/>
      <c r="Q154" s="6" t="n"/>
      <c r="R154" s="6" t="n"/>
      <c r="S154" s="6">
        <f>IF(COUNT(Q154:R154)=0,"",SUM(Q154:R154))</f>
        <v/>
      </c>
      <c r="T154" s="6" t="n"/>
      <c r="U154" s="5">
        <f>IF(T154="","",IF(L154&lt;&gt;"IGEN","IGEN",IF(S154&gt;=T154,"IGEN","NEM")))</f>
        <v/>
      </c>
      <c r="V154" s="5" t="n"/>
      <c r="W154" s="5" t="n"/>
      <c r="X154" s="5" t="n"/>
      <c r="Y154" s="5" t="n"/>
      <c r="Z154" s="5">
        <f>IF(X154="","",IF(COUNTIFS($X$5:$X$304,X154,$I$5:$I$304,"&lt;"&amp;I154)=0,I154,""))</f>
        <v/>
      </c>
      <c r="AA154" s="5">
        <f>IF(X154="","",IF(COUNTIFS($X$5:$X$304,X154,$I$5:$I$304,"&lt;"&amp;I154)&gt;0,"NEM",IF(COUNTIFS($X$5:$X$304,X154,$I$5:$I$304,I154)=1,"IGEN",IF(Y154=1,"IGEN","NEM"))))</f>
        <v/>
      </c>
      <c r="AB154" s="5">
        <f>IF(OR(I154="",J154=""),"",IF(OR(I154=0,V154="IGEN",W154="IGEN"),"X",IF(AND(K154&lt;&gt;"IGEN",L154="IGEN",U154="NEM"),"X",IF(AA154="IGEN",J154,"X"))))</f>
        <v/>
      </c>
      <c r="AC154" s="5">
        <f>IF(AB154="X",0,IF(D154="","",D154))</f>
        <v/>
      </c>
      <c r="AD154" s="5">
        <f>IF(AB154="X",IF(D154="","",D154),0)</f>
        <v/>
      </c>
      <c r="AE154" s="6" t="n"/>
      <c r="AF154" s="6">
        <f>IF(E154="","",SUMIFS($AI$5:AI154,$E$5:E154,E154)-AI154)</f>
        <v/>
      </c>
      <c r="AG154" s="6">
        <f>IF(AE154="","",MAX(0,AE154-AF154))</f>
        <v/>
      </c>
      <c r="AH154" s="6">
        <f>IF(S154="","",IF(OR(I154=0,V154="IGEN",W154="IGEN"),0,IF(AND(K154&lt;&gt;"IGEN",L154="IGEN",U154="NEM"),0,S154)))</f>
        <v/>
      </c>
      <c r="AI154" s="6">
        <f>IF(AH154="","",IF(M154="IGEN",MIN(AH154,AG154),AH154))</f>
        <v/>
      </c>
      <c r="AJ154" s="5" t="n"/>
    </row>
    <row r="155">
      <c r="A155" s="5" t="n"/>
      <c r="B155" s="5" t="n"/>
      <c r="C155" s="5" t="n"/>
      <c r="D155" s="5">
        <f>IF(AND(B155&lt;&gt;"",C155&lt;&gt;""),C155-B155+1,"")</f>
        <v/>
      </c>
      <c r="E155" s="5">
        <f>IF(B155&lt;&gt;"",YEAR(B155),"")</f>
        <v/>
      </c>
      <c r="F155" s="6" t="n"/>
      <c r="G155" s="6" t="n"/>
      <c r="H155" s="6" t="n"/>
      <c r="I155" s="5">
        <f>IF(H155="","",IFERROR(INDEX(Szabályok!$B$13:$B$200,MATCH(H155,Szabályok!$A$13:$A$200,0)),""))</f>
        <v/>
      </c>
      <c r="J155" s="5">
        <f>IF(H155="","",IFERROR(INDEX(Szabályok!$C$13:$C$200,MATCH(H155,Szabályok!$A$13:$A$200,0)),""))</f>
        <v/>
      </c>
      <c r="K155" s="5">
        <f>IF(H155="","",IFERROR(INDEX(Szabályok!$D$13:$D$200,MATCH(H155,Szabályok!$A$13:$A$200,0)),""))</f>
        <v/>
      </c>
      <c r="L155" s="5">
        <f>IF(H155="","",IFERROR(INDEX(Szabályok!$E$13:$E$200,MATCH(H155,Szabályok!$A$13:$A$200,0)),""))</f>
        <v/>
      </c>
      <c r="M155" s="5">
        <f>IF(H155="","",IFERROR(INDEX(Szabályok!$F$13:$F$200,MATCH(H155,Szabályok!$A$13:$A$200,0)),""))</f>
        <v/>
      </c>
      <c r="N155" s="5">
        <f>IF(H155="","",IFERROR(INDEX(Szabályok!$G$13:$G$200,MATCH(H155,Szabályok!$A$13:$A$200,0)),""))</f>
        <v/>
      </c>
      <c r="O155" s="5">
        <f>IF(H155="","",IFERROR(INDEX(Szabályok!$H$13:$H$200,MATCH(H155,Szabályok!$A$13:$A$200,0)),""))</f>
        <v/>
      </c>
      <c r="P155" s="5" t="n"/>
      <c r="Q155" s="6" t="n"/>
      <c r="R155" s="6" t="n"/>
      <c r="S155" s="6">
        <f>IF(COUNT(Q155:R155)=0,"",SUM(Q155:R155))</f>
        <v/>
      </c>
      <c r="T155" s="6" t="n"/>
      <c r="U155" s="5">
        <f>IF(T155="","",IF(L155&lt;&gt;"IGEN","IGEN",IF(S155&gt;=T155,"IGEN","NEM")))</f>
        <v/>
      </c>
      <c r="V155" s="5" t="n"/>
      <c r="W155" s="5" t="n"/>
      <c r="X155" s="5" t="n"/>
      <c r="Y155" s="5" t="n"/>
      <c r="Z155" s="5">
        <f>IF(X155="","",IF(COUNTIFS($X$5:$X$304,X155,$I$5:$I$304,"&lt;"&amp;I155)=0,I155,""))</f>
        <v/>
      </c>
      <c r="AA155" s="5">
        <f>IF(X155="","",IF(COUNTIFS($X$5:$X$304,X155,$I$5:$I$304,"&lt;"&amp;I155)&gt;0,"NEM",IF(COUNTIFS($X$5:$X$304,X155,$I$5:$I$304,I155)=1,"IGEN",IF(Y155=1,"IGEN","NEM"))))</f>
        <v/>
      </c>
      <c r="AB155" s="5">
        <f>IF(OR(I155="",J155=""),"",IF(OR(I155=0,V155="IGEN",W155="IGEN"),"X",IF(AND(K155&lt;&gt;"IGEN",L155="IGEN",U155="NEM"),"X",IF(AA155="IGEN",J155,"X"))))</f>
        <v/>
      </c>
      <c r="AC155" s="5">
        <f>IF(AB155="X",0,IF(D155="","",D155))</f>
        <v/>
      </c>
      <c r="AD155" s="5">
        <f>IF(AB155="X",IF(D155="","",D155),0)</f>
        <v/>
      </c>
      <c r="AE155" s="6" t="n"/>
      <c r="AF155" s="6">
        <f>IF(E155="","",SUMIFS($AI$5:AI155,$E$5:E155,E155)-AI155)</f>
        <v/>
      </c>
      <c r="AG155" s="6">
        <f>IF(AE155="","",MAX(0,AE155-AF155))</f>
        <v/>
      </c>
      <c r="AH155" s="6">
        <f>IF(S155="","",IF(OR(I155=0,V155="IGEN",W155="IGEN"),0,IF(AND(K155&lt;&gt;"IGEN",L155="IGEN",U155="NEM"),0,S155)))</f>
        <v/>
      </c>
      <c r="AI155" s="6">
        <f>IF(AH155="","",IF(M155="IGEN",MIN(AH155,AG155),AH155))</f>
        <v/>
      </c>
      <c r="AJ155" s="5" t="n"/>
    </row>
    <row r="156">
      <c r="A156" s="5" t="n"/>
      <c r="B156" s="5" t="n"/>
      <c r="C156" s="5" t="n"/>
      <c r="D156" s="5">
        <f>IF(AND(B156&lt;&gt;"",C156&lt;&gt;""),C156-B156+1,"")</f>
        <v/>
      </c>
      <c r="E156" s="5">
        <f>IF(B156&lt;&gt;"",YEAR(B156),"")</f>
        <v/>
      </c>
      <c r="F156" s="6" t="n"/>
      <c r="G156" s="6" t="n"/>
      <c r="H156" s="6" t="n"/>
      <c r="I156" s="5">
        <f>IF(H156="","",IFERROR(INDEX(Szabályok!$B$13:$B$200,MATCH(H156,Szabályok!$A$13:$A$200,0)),""))</f>
        <v/>
      </c>
      <c r="J156" s="5">
        <f>IF(H156="","",IFERROR(INDEX(Szabályok!$C$13:$C$200,MATCH(H156,Szabályok!$A$13:$A$200,0)),""))</f>
        <v/>
      </c>
      <c r="K156" s="5">
        <f>IF(H156="","",IFERROR(INDEX(Szabályok!$D$13:$D$200,MATCH(H156,Szabályok!$A$13:$A$200,0)),""))</f>
        <v/>
      </c>
      <c r="L156" s="5">
        <f>IF(H156="","",IFERROR(INDEX(Szabályok!$E$13:$E$200,MATCH(H156,Szabályok!$A$13:$A$200,0)),""))</f>
        <v/>
      </c>
      <c r="M156" s="5">
        <f>IF(H156="","",IFERROR(INDEX(Szabályok!$F$13:$F$200,MATCH(H156,Szabályok!$A$13:$A$200,0)),""))</f>
        <v/>
      </c>
      <c r="N156" s="5">
        <f>IF(H156="","",IFERROR(INDEX(Szabályok!$G$13:$G$200,MATCH(H156,Szabályok!$A$13:$A$200,0)),""))</f>
        <v/>
      </c>
      <c r="O156" s="5">
        <f>IF(H156="","",IFERROR(INDEX(Szabályok!$H$13:$H$200,MATCH(H156,Szabályok!$A$13:$A$200,0)),""))</f>
        <v/>
      </c>
      <c r="P156" s="5" t="n"/>
      <c r="Q156" s="6" t="n"/>
      <c r="R156" s="6" t="n"/>
      <c r="S156" s="6">
        <f>IF(COUNT(Q156:R156)=0,"",SUM(Q156:R156))</f>
        <v/>
      </c>
      <c r="T156" s="6" t="n"/>
      <c r="U156" s="5">
        <f>IF(T156="","",IF(L156&lt;&gt;"IGEN","IGEN",IF(S156&gt;=T156,"IGEN","NEM")))</f>
        <v/>
      </c>
      <c r="V156" s="5" t="n"/>
      <c r="W156" s="5" t="n"/>
      <c r="X156" s="5" t="n"/>
      <c r="Y156" s="5" t="n"/>
      <c r="Z156" s="5">
        <f>IF(X156="","",IF(COUNTIFS($X$5:$X$304,X156,$I$5:$I$304,"&lt;"&amp;I156)=0,I156,""))</f>
        <v/>
      </c>
      <c r="AA156" s="5">
        <f>IF(X156="","",IF(COUNTIFS($X$5:$X$304,X156,$I$5:$I$304,"&lt;"&amp;I156)&gt;0,"NEM",IF(COUNTIFS($X$5:$X$304,X156,$I$5:$I$304,I156)=1,"IGEN",IF(Y156=1,"IGEN","NEM"))))</f>
        <v/>
      </c>
      <c r="AB156" s="5">
        <f>IF(OR(I156="",J156=""),"",IF(OR(I156=0,V156="IGEN",W156="IGEN"),"X",IF(AND(K156&lt;&gt;"IGEN",L156="IGEN",U156="NEM"),"X",IF(AA156="IGEN",J156,"X"))))</f>
        <v/>
      </c>
      <c r="AC156" s="5">
        <f>IF(AB156="X",0,IF(D156="","",D156))</f>
        <v/>
      </c>
      <c r="AD156" s="5">
        <f>IF(AB156="X",IF(D156="","",D156),0)</f>
        <v/>
      </c>
      <c r="AE156" s="6" t="n"/>
      <c r="AF156" s="6">
        <f>IF(E156="","",SUMIFS($AI$5:AI156,$E$5:E156,E156)-AI156)</f>
        <v/>
      </c>
      <c r="AG156" s="6">
        <f>IF(AE156="","",MAX(0,AE156-AF156))</f>
        <v/>
      </c>
      <c r="AH156" s="6">
        <f>IF(S156="","",IF(OR(I156=0,V156="IGEN",W156="IGEN"),0,IF(AND(K156&lt;&gt;"IGEN",L156="IGEN",U156="NEM"),0,S156)))</f>
        <v/>
      </c>
      <c r="AI156" s="6">
        <f>IF(AH156="","",IF(M156="IGEN",MIN(AH156,AG156),AH156))</f>
        <v/>
      </c>
      <c r="AJ156" s="5" t="n"/>
    </row>
    <row r="157">
      <c r="A157" s="5" t="n"/>
      <c r="B157" s="5" t="n"/>
      <c r="C157" s="5" t="n"/>
      <c r="D157" s="5">
        <f>IF(AND(B157&lt;&gt;"",C157&lt;&gt;""),C157-B157+1,"")</f>
        <v/>
      </c>
      <c r="E157" s="5">
        <f>IF(B157&lt;&gt;"",YEAR(B157),"")</f>
        <v/>
      </c>
      <c r="F157" s="6" t="n"/>
      <c r="G157" s="6" t="n"/>
      <c r="H157" s="6" t="n"/>
      <c r="I157" s="5">
        <f>IF(H157="","",IFERROR(INDEX(Szabályok!$B$13:$B$200,MATCH(H157,Szabályok!$A$13:$A$200,0)),""))</f>
        <v/>
      </c>
      <c r="J157" s="5">
        <f>IF(H157="","",IFERROR(INDEX(Szabályok!$C$13:$C$200,MATCH(H157,Szabályok!$A$13:$A$200,0)),""))</f>
        <v/>
      </c>
      <c r="K157" s="5">
        <f>IF(H157="","",IFERROR(INDEX(Szabályok!$D$13:$D$200,MATCH(H157,Szabályok!$A$13:$A$200,0)),""))</f>
        <v/>
      </c>
      <c r="L157" s="5">
        <f>IF(H157="","",IFERROR(INDEX(Szabályok!$E$13:$E$200,MATCH(H157,Szabályok!$A$13:$A$200,0)),""))</f>
        <v/>
      </c>
      <c r="M157" s="5">
        <f>IF(H157="","",IFERROR(INDEX(Szabályok!$F$13:$F$200,MATCH(H157,Szabályok!$A$13:$A$200,0)),""))</f>
        <v/>
      </c>
      <c r="N157" s="5">
        <f>IF(H157="","",IFERROR(INDEX(Szabályok!$G$13:$G$200,MATCH(H157,Szabályok!$A$13:$A$200,0)),""))</f>
        <v/>
      </c>
      <c r="O157" s="5">
        <f>IF(H157="","",IFERROR(INDEX(Szabályok!$H$13:$H$200,MATCH(H157,Szabályok!$A$13:$A$200,0)),""))</f>
        <v/>
      </c>
      <c r="P157" s="5" t="n"/>
      <c r="Q157" s="6" t="n"/>
      <c r="R157" s="6" t="n"/>
      <c r="S157" s="6">
        <f>IF(COUNT(Q157:R157)=0,"",SUM(Q157:R157))</f>
        <v/>
      </c>
      <c r="T157" s="6" t="n"/>
      <c r="U157" s="5">
        <f>IF(T157="","",IF(L157&lt;&gt;"IGEN","IGEN",IF(S157&gt;=T157,"IGEN","NEM")))</f>
        <v/>
      </c>
      <c r="V157" s="5" t="n"/>
      <c r="W157" s="5" t="n"/>
      <c r="X157" s="5" t="n"/>
      <c r="Y157" s="5" t="n"/>
      <c r="Z157" s="5">
        <f>IF(X157="","",IF(COUNTIFS($X$5:$X$304,X157,$I$5:$I$304,"&lt;"&amp;I157)=0,I157,""))</f>
        <v/>
      </c>
      <c r="AA157" s="5">
        <f>IF(X157="","",IF(COUNTIFS($X$5:$X$304,X157,$I$5:$I$304,"&lt;"&amp;I157)&gt;0,"NEM",IF(COUNTIFS($X$5:$X$304,X157,$I$5:$I$304,I157)=1,"IGEN",IF(Y157=1,"IGEN","NEM"))))</f>
        <v/>
      </c>
      <c r="AB157" s="5">
        <f>IF(OR(I157="",J157=""),"",IF(OR(I157=0,V157="IGEN",W157="IGEN"),"X",IF(AND(K157&lt;&gt;"IGEN",L157="IGEN",U157="NEM"),"X",IF(AA157="IGEN",J157,"X"))))</f>
        <v/>
      </c>
      <c r="AC157" s="5">
        <f>IF(AB157="X",0,IF(D157="","",D157))</f>
        <v/>
      </c>
      <c r="AD157" s="5">
        <f>IF(AB157="X",IF(D157="","",D157),0)</f>
        <v/>
      </c>
      <c r="AE157" s="6" t="n"/>
      <c r="AF157" s="6">
        <f>IF(E157="","",SUMIFS($AI$5:AI157,$E$5:E157,E157)-AI157)</f>
        <v/>
      </c>
      <c r="AG157" s="6">
        <f>IF(AE157="","",MAX(0,AE157-AF157))</f>
        <v/>
      </c>
      <c r="AH157" s="6">
        <f>IF(S157="","",IF(OR(I157=0,V157="IGEN",W157="IGEN"),0,IF(AND(K157&lt;&gt;"IGEN",L157="IGEN",U157="NEM"),0,S157)))</f>
        <v/>
      </c>
      <c r="AI157" s="6">
        <f>IF(AH157="","",IF(M157="IGEN",MIN(AH157,AG157),AH157))</f>
        <v/>
      </c>
      <c r="AJ157" s="5" t="n"/>
    </row>
    <row r="158">
      <c r="A158" s="5" t="n"/>
      <c r="B158" s="5" t="n"/>
      <c r="C158" s="5" t="n"/>
      <c r="D158" s="5">
        <f>IF(AND(B158&lt;&gt;"",C158&lt;&gt;""),C158-B158+1,"")</f>
        <v/>
      </c>
      <c r="E158" s="5">
        <f>IF(B158&lt;&gt;"",YEAR(B158),"")</f>
        <v/>
      </c>
      <c r="F158" s="6" t="n"/>
      <c r="G158" s="6" t="n"/>
      <c r="H158" s="6" t="n"/>
      <c r="I158" s="5">
        <f>IF(H158="","",IFERROR(INDEX(Szabályok!$B$13:$B$200,MATCH(H158,Szabályok!$A$13:$A$200,0)),""))</f>
        <v/>
      </c>
      <c r="J158" s="5">
        <f>IF(H158="","",IFERROR(INDEX(Szabályok!$C$13:$C$200,MATCH(H158,Szabályok!$A$13:$A$200,0)),""))</f>
        <v/>
      </c>
      <c r="K158" s="5">
        <f>IF(H158="","",IFERROR(INDEX(Szabályok!$D$13:$D$200,MATCH(H158,Szabályok!$A$13:$A$200,0)),""))</f>
        <v/>
      </c>
      <c r="L158" s="5">
        <f>IF(H158="","",IFERROR(INDEX(Szabályok!$E$13:$E$200,MATCH(H158,Szabályok!$A$13:$A$200,0)),""))</f>
        <v/>
      </c>
      <c r="M158" s="5">
        <f>IF(H158="","",IFERROR(INDEX(Szabályok!$F$13:$F$200,MATCH(H158,Szabályok!$A$13:$A$200,0)),""))</f>
        <v/>
      </c>
      <c r="N158" s="5">
        <f>IF(H158="","",IFERROR(INDEX(Szabályok!$G$13:$G$200,MATCH(H158,Szabályok!$A$13:$A$200,0)),""))</f>
        <v/>
      </c>
      <c r="O158" s="5">
        <f>IF(H158="","",IFERROR(INDEX(Szabályok!$H$13:$H$200,MATCH(H158,Szabályok!$A$13:$A$200,0)),""))</f>
        <v/>
      </c>
      <c r="P158" s="5" t="n"/>
      <c r="Q158" s="6" t="n"/>
      <c r="R158" s="6" t="n"/>
      <c r="S158" s="6">
        <f>IF(COUNT(Q158:R158)=0,"",SUM(Q158:R158))</f>
        <v/>
      </c>
      <c r="T158" s="6" t="n"/>
      <c r="U158" s="5">
        <f>IF(T158="","",IF(L158&lt;&gt;"IGEN","IGEN",IF(S158&gt;=T158,"IGEN","NEM")))</f>
        <v/>
      </c>
      <c r="V158" s="5" t="n"/>
      <c r="W158" s="5" t="n"/>
      <c r="X158" s="5" t="n"/>
      <c r="Y158" s="5" t="n"/>
      <c r="Z158" s="5">
        <f>IF(X158="","",IF(COUNTIFS($X$5:$X$304,X158,$I$5:$I$304,"&lt;"&amp;I158)=0,I158,""))</f>
        <v/>
      </c>
      <c r="AA158" s="5">
        <f>IF(X158="","",IF(COUNTIFS($X$5:$X$304,X158,$I$5:$I$304,"&lt;"&amp;I158)&gt;0,"NEM",IF(COUNTIFS($X$5:$X$304,X158,$I$5:$I$304,I158)=1,"IGEN",IF(Y158=1,"IGEN","NEM"))))</f>
        <v/>
      </c>
      <c r="AB158" s="5">
        <f>IF(OR(I158="",J158=""),"",IF(OR(I158=0,V158="IGEN",W158="IGEN"),"X",IF(AND(K158&lt;&gt;"IGEN",L158="IGEN",U158="NEM"),"X",IF(AA158="IGEN",J158,"X"))))</f>
        <v/>
      </c>
      <c r="AC158" s="5">
        <f>IF(AB158="X",0,IF(D158="","",D158))</f>
        <v/>
      </c>
      <c r="AD158" s="5">
        <f>IF(AB158="X",IF(D158="","",D158),0)</f>
        <v/>
      </c>
      <c r="AE158" s="6" t="n"/>
      <c r="AF158" s="6">
        <f>IF(E158="","",SUMIFS($AI$5:AI158,$E$5:E158,E158)-AI158)</f>
        <v/>
      </c>
      <c r="AG158" s="6">
        <f>IF(AE158="","",MAX(0,AE158-AF158))</f>
        <v/>
      </c>
      <c r="AH158" s="6">
        <f>IF(S158="","",IF(OR(I158=0,V158="IGEN",W158="IGEN"),0,IF(AND(K158&lt;&gt;"IGEN",L158="IGEN",U158="NEM"),0,S158)))</f>
        <v/>
      </c>
      <c r="AI158" s="6">
        <f>IF(AH158="","",IF(M158="IGEN",MIN(AH158,AG158),AH158))</f>
        <v/>
      </c>
      <c r="AJ158" s="5" t="n"/>
    </row>
    <row r="159">
      <c r="A159" s="5" t="n"/>
      <c r="B159" s="5" t="n"/>
      <c r="C159" s="5" t="n"/>
      <c r="D159" s="5">
        <f>IF(AND(B159&lt;&gt;"",C159&lt;&gt;""),C159-B159+1,"")</f>
        <v/>
      </c>
      <c r="E159" s="5">
        <f>IF(B159&lt;&gt;"",YEAR(B159),"")</f>
        <v/>
      </c>
      <c r="F159" s="6" t="n"/>
      <c r="G159" s="6" t="n"/>
      <c r="H159" s="6" t="n"/>
      <c r="I159" s="5">
        <f>IF(H159="","",IFERROR(INDEX(Szabályok!$B$13:$B$200,MATCH(H159,Szabályok!$A$13:$A$200,0)),""))</f>
        <v/>
      </c>
      <c r="J159" s="5">
        <f>IF(H159="","",IFERROR(INDEX(Szabályok!$C$13:$C$200,MATCH(H159,Szabályok!$A$13:$A$200,0)),""))</f>
        <v/>
      </c>
      <c r="K159" s="5">
        <f>IF(H159="","",IFERROR(INDEX(Szabályok!$D$13:$D$200,MATCH(H159,Szabályok!$A$13:$A$200,0)),""))</f>
        <v/>
      </c>
      <c r="L159" s="5">
        <f>IF(H159="","",IFERROR(INDEX(Szabályok!$E$13:$E$200,MATCH(H159,Szabályok!$A$13:$A$200,0)),""))</f>
        <v/>
      </c>
      <c r="M159" s="5">
        <f>IF(H159="","",IFERROR(INDEX(Szabályok!$F$13:$F$200,MATCH(H159,Szabályok!$A$13:$A$200,0)),""))</f>
        <v/>
      </c>
      <c r="N159" s="5">
        <f>IF(H159="","",IFERROR(INDEX(Szabályok!$G$13:$G$200,MATCH(H159,Szabályok!$A$13:$A$200,0)),""))</f>
        <v/>
      </c>
      <c r="O159" s="5">
        <f>IF(H159="","",IFERROR(INDEX(Szabályok!$H$13:$H$200,MATCH(H159,Szabályok!$A$13:$A$200,0)),""))</f>
        <v/>
      </c>
      <c r="P159" s="5" t="n"/>
      <c r="Q159" s="6" t="n"/>
      <c r="R159" s="6" t="n"/>
      <c r="S159" s="6">
        <f>IF(COUNT(Q159:R159)=0,"",SUM(Q159:R159))</f>
        <v/>
      </c>
      <c r="T159" s="6" t="n"/>
      <c r="U159" s="5">
        <f>IF(T159="","",IF(L159&lt;&gt;"IGEN","IGEN",IF(S159&gt;=T159,"IGEN","NEM")))</f>
        <v/>
      </c>
      <c r="V159" s="5" t="n"/>
      <c r="W159" s="5" t="n"/>
      <c r="X159" s="5" t="n"/>
      <c r="Y159" s="5" t="n"/>
      <c r="Z159" s="5">
        <f>IF(X159="","",IF(COUNTIFS($X$5:$X$304,X159,$I$5:$I$304,"&lt;"&amp;I159)=0,I159,""))</f>
        <v/>
      </c>
      <c r="AA159" s="5">
        <f>IF(X159="","",IF(COUNTIFS($X$5:$X$304,X159,$I$5:$I$304,"&lt;"&amp;I159)&gt;0,"NEM",IF(COUNTIFS($X$5:$X$304,X159,$I$5:$I$304,I159)=1,"IGEN",IF(Y159=1,"IGEN","NEM"))))</f>
        <v/>
      </c>
      <c r="AB159" s="5">
        <f>IF(OR(I159="",J159=""),"",IF(OR(I159=0,V159="IGEN",W159="IGEN"),"X",IF(AND(K159&lt;&gt;"IGEN",L159="IGEN",U159="NEM"),"X",IF(AA159="IGEN",J159,"X"))))</f>
        <v/>
      </c>
      <c r="AC159" s="5">
        <f>IF(AB159="X",0,IF(D159="","",D159))</f>
        <v/>
      </c>
      <c r="AD159" s="5">
        <f>IF(AB159="X",IF(D159="","",D159),0)</f>
        <v/>
      </c>
      <c r="AE159" s="6" t="n"/>
      <c r="AF159" s="6">
        <f>IF(E159="","",SUMIFS($AI$5:AI159,$E$5:E159,E159)-AI159)</f>
        <v/>
      </c>
      <c r="AG159" s="6">
        <f>IF(AE159="","",MAX(0,AE159-AF159))</f>
        <v/>
      </c>
      <c r="AH159" s="6">
        <f>IF(S159="","",IF(OR(I159=0,V159="IGEN",W159="IGEN"),0,IF(AND(K159&lt;&gt;"IGEN",L159="IGEN",U159="NEM"),0,S159)))</f>
        <v/>
      </c>
      <c r="AI159" s="6">
        <f>IF(AH159="","",IF(M159="IGEN",MIN(AH159,AG159),AH159))</f>
        <v/>
      </c>
      <c r="AJ159" s="5" t="n"/>
    </row>
    <row r="160">
      <c r="A160" s="5" t="n"/>
      <c r="B160" s="5" t="n"/>
      <c r="C160" s="5" t="n"/>
      <c r="D160" s="5">
        <f>IF(AND(B160&lt;&gt;"",C160&lt;&gt;""),C160-B160+1,"")</f>
        <v/>
      </c>
      <c r="E160" s="5">
        <f>IF(B160&lt;&gt;"",YEAR(B160),"")</f>
        <v/>
      </c>
      <c r="F160" s="6" t="n"/>
      <c r="G160" s="6" t="n"/>
      <c r="H160" s="6" t="n"/>
      <c r="I160" s="5">
        <f>IF(H160="","",IFERROR(INDEX(Szabályok!$B$13:$B$200,MATCH(H160,Szabályok!$A$13:$A$200,0)),""))</f>
        <v/>
      </c>
      <c r="J160" s="5">
        <f>IF(H160="","",IFERROR(INDEX(Szabályok!$C$13:$C$200,MATCH(H160,Szabályok!$A$13:$A$200,0)),""))</f>
        <v/>
      </c>
      <c r="K160" s="5">
        <f>IF(H160="","",IFERROR(INDEX(Szabályok!$D$13:$D$200,MATCH(H160,Szabályok!$A$13:$A$200,0)),""))</f>
        <v/>
      </c>
      <c r="L160" s="5">
        <f>IF(H160="","",IFERROR(INDEX(Szabályok!$E$13:$E$200,MATCH(H160,Szabályok!$A$13:$A$200,0)),""))</f>
        <v/>
      </c>
      <c r="M160" s="5">
        <f>IF(H160="","",IFERROR(INDEX(Szabályok!$F$13:$F$200,MATCH(H160,Szabályok!$A$13:$A$200,0)),""))</f>
        <v/>
      </c>
      <c r="N160" s="5">
        <f>IF(H160="","",IFERROR(INDEX(Szabályok!$G$13:$G$200,MATCH(H160,Szabályok!$A$13:$A$200,0)),""))</f>
        <v/>
      </c>
      <c r="O160" s="5">
        <f>IF(H160="","",IFERROR(INDEX(Szabályok!$H$13:$H$200,MATCH(H160,Szabályok!$A$13:$A$200,0)),""))</f>
        <v/>
      </c>
      <c r="P160" s="5" t="n"/>
      <c r="Q160" s="6" t="n"/>
      <c r="R160" s="6" t="n"/>
      <c r="S160" s="6">
        <f>IF(COUNT(Q160:R160)=0,"",SUM(Q160:R160))</f>
        <v/>
      </c>
      <c r="T160" s="6" t="n"/>
      <c r="U160" s="5">
        <f>IF(T160="","",IF(L160&lt;&gt;"IGEN","IGEN",IF(S160&gt;=T160,"IGEN","NEM")))</f>
        <v/>
      </c>
      <c r="V160" s="5" t="n"/>
      <c r="W160" s="5" t="n"/>
      <c r="X160" s="5" t="n"/>
      <c r="Y160" s="5" t="n"/>
      <c r="Z160" s="5">
        <f>IF(X160="","",IF(COUNTIFS($X$5:$X$304,X160,$I$5:$I$304,"&lt;"&amp;I160)=0,I160,""))</f>
        <v/>
      </c>
      <c r="AA160" s="5">
        <f>IF(X160="","",IF(COUNTIFS($X$5:$X$304,X160,$I$5:$I$304,"&lt;"&amp;I160)&gt;0,"NEM",IF(COUNTIFS($X$5:$X$304,X160,$I$5:$I$304,I160)=1,"IGEN",IF(Y160=1,"IGEN","NEM"))))</f>
        <v/>
      </c>
      <c r="AB160" s="5">
        <f>IF(OR(I160="",J160=""),"",IF(OR(I160=0,V160="IGEN",W160="IGEN"),"X",IF(AND(K160&lt;&gt;"IGEN",L160="IGEN",U160="NEM"),"X",IF(AA160="IGEN",J160,"X"))))</f>
        <v/>
      </c>
      <c r="AC160" s="5">
        <f>IF(AB160="X",0,IF(D160="","",D160))</f>
        <v/>
      </c>
      <c r="AD160" s="5">
        <f>IF(AB160="X",IF(D160="","",D160),0)</f>
        <v/>
      </c>
      <c r="AE160" s="6" t="n"/>
      <c r="AF160" s="6">
        <f>IF(E160="","",SUMIFS($AI$5:AI160,$E$5:E160,E160)-AI160)</f>
        <v/>
      </c>
      <c r="AG160" s="6">
        <f>IF(AE160="","",MAX(0,AE160-AF160))</f>
        <v/>
      </c>
      <c r="AH160" s="6">
        <f>IF(S160="","",IF(OR(I160=0,V160="IGEN",W160="IGEN"),0,IF(AND(K160&lt;&gt;"IGEN",L160="IGEN",U160="NEM"),0,S160)))</f>
        <v/>
      </c>
      <c r="AI160" s="6">
        <f>IF(AH160="","",IF(M160="IGEN",MIN(AH160,AG160),AH160))</f>
        <v/>
      </c>
      <c r="AJ160" s="5" t="n"/>
    </row>
    <row r="161">
      <c r="A161" s="5" t="n"/>
      <c r="B161" s="5" t="n"/>
      <c r="C161" s="5" t="n"/>
      <c r="D161" s="5">
        <f>IF(AND(B161&lt;&gt;"",C161&lt;&gt;""),C161-B161+1,"")</f>
        <v/>
      </c>
      <c r="E161" s="5">
        <f>IF(B161&lt;&gt;"",YEAR(B161),"")</f>
        <v/>
      </c>
      <c r="F161" s="6" t="n"/>
      <c r="G161" s="6" t="n"/>
      <c r="H161" s="6" t="n"/>
      <c r="I161" s="5">
        <f>IF(H161="","",IFERROR(INDEX(Szabályok!$B$13:$B$200,MATCH(H161,Szabályok!$A$13:$A$200,0)),""))</f>
        <v/>
      </c>
      <c r="J161" s="5">
        <f>IF(H161="","",IFERROR(INDEX(Szabályok!$C$13:$C$200,MATCH(H161,Szabályok!$A$13:$A$200,0)),""))</f>
        <v/>
      </c>
      <c r="K161" s="5">
        <f>IF(H161="","",IFERROR(INDEX(Szabályok!$D$13:$D$200,MATCH(H161,Szabályok!$A$13:$A$200,0)),""))</f>
        <v/>
      </c>
      <c r="L161" s="5">
        <f>IF(H161="","",IFERROR(INDEX(Szabályok!$E$13:$E$200,MATCH(H161,Szabályok!$A$13:$A$200,0)),""))</f>
        <v/>
      </c>
      <c r="M161" s="5">
        <f>IF(H161="","",IFERROR(INDEX(Szabályok!$F$13:$F$200,MATCH(H161,Szabályok!$A$13:$A$200,0)),""))</f>
        <v/>
      </c>
      <c r="N161" s="5">
        <f>IF(H161="","",IFERROR(INDEX(Szabályok!$G$13:$G$200,MATCH(H161,Szabályok!$A$13:$A$200,0)),""))</f>
        <v/>
      </c>
      <c r="O161" s="5">
        <f>IF(H161="","",IFERROR(INDEX(Szabályok!$H$13:$H$200,MATCH(H161,Szabályok!$A$13:$A$200,0)),""))</f>
        <v/>
      </c>
      <c r="P161" s="5" t="n"/>
      <c r="Q161" s="6" t="n"/>
      <c r="R161" s="6" t="n"/>
      <c r="S161" s="6">
        <f>IF(COUNT(Q161:R161)=0,"",SUM(Q161:R161))</f>
        <v/>
      </c>
      <c r="T161" s="6" t="n"/>
      <c r="U161" s="5">
        <f>IF(T161="","",IF(L161&lt;&gt;"IGEN","IGEN",IF(S161&gt;=T161,"IGEN","NEM")))</f>
        <v/>
      </c>
      <c r="V161" s="5" t="n"/>
      <c r="W161" s="5" t="n"/>
      <c r="X161" s="5" t="n"/>
      <c r="Y161" s="5" t="n"/>
      <c r="Z161" s="5">
        <f>IF(X161="","",IF(COUNTIFS($X$5:$X$304,X161,$I$5:$I$304,"&lt;"&amp;I161)=0,I161,""))</f>
        <v/>
      </c>
      <c r="AA161" s="5">
        <f>IF(X161="","",IF(COUNTIFS($X$5:$X$304,X161,$I$5:$I$304,"&lt;"&amp;I161)&gt;0,"NEM",IF(COUNTIFS($X$5:$X$304,X161,$I$5:$I$304,I161)=1,"IGEN",IF(Y161=1,"IGEN","NEM"))))</f>
        <v/>
      </c>
      <c r="AB161" s="5">
        <f>IF(OR(I161="",J161=""),"",IF(OR(I161=0,V161="IGEN",W161="IGEN"),"X",IF(AND(K161&lt;&gt;"IGEN",L161="IGEN",U161="NEM"),"X",IF(AA161="IGEN",J161,"X"))))</f>
        <v/>
      </c>
      <c r="AC161" s="5">
        <f>IF(AB161="X",0,IF(D161="","",D161))</f>
        <v/>
      </c>
      <c r="AD161" s="5">
        <f>IF(AB161="X",IF(D161="","",D161),0)</f>
        <v/>
      </c>
      <c r="AE161" s="6" t="n"/>
      <c r="AF161" s="6">
        <f>IF(E161="","",SUMIFS($AI$5:AI161,$E$5:E161,E161)-AI161)</f>
        <v/>
      </c>
      <c r="AG161" s="6">
        <f>IF(AE161="","",MAX(0,AE161-AF161))</f>
        <v/>
      </c>
      <c r="AH161" s="6">
        <f>IF(S161="","",IF(OR(I161=0,V161="IGEN",W161="IGEN"),0,IF(AND(K161&lt;&gt;"IGEN",L161="IGEN",U161="NEM"),0,S161)))</f>
        <v/>
      </c>
      <c r="AI161" s="6">
        <f>IF(AH161="","",IF(M161="IGEN",MIN(AH161,AG161),AH161))</f>
        <v/>
      </c>
      <c r="AJ161" s="5" t="n"/>
    </row>
    <row r="162">
      <c r="A162" s="5" t="n"/>
      <c r="B162" s="5" t="n"/>
      <c r="C162" s="5" t="n"/>
      <c r="D162" s="5">
        <f>IF(AND(B162&lt;&gt;"",C162&lt;&gt;""),C162-B162+1,"")</f>
        <v/>
      </c>
      <c r="E162" s="5">
        <f>IF(B162&lt;&gt;"",YEAR(B162),"")</f>
        <v/>
      </c>
      <c r="F162" s="6" t="n"/>
      <c r="G162" s="6" t="n"/>
      <c r="H162" s="6" t="n"/>
      <c r="I162" s="5">
        <f>IF(H162="","",IFERROR(INDEX(Szabályok!$B$13:$B$200,MATCH(H162,Szabályok!$A$13:$A$200,0)),""))</f>
        <v/>
      </c>
      <c r="J162" s="5">
        <f>IF(H162="","",IFERROR(INDEX(Szabályok!$C$13:$C$200,MATCH(H162,Szabályok!$A$13:$A$200,0)),""))</f>
        <v/>
      </c>
      <c r="K162" s="5">
        <f>IF(H162="","",IFERROR(INDEX(Szabályok!$D$13:$D$200,MATCH(H162,Szabályok!$A$13:$A$200,0)),""))</f>
        <v/>
      </c>
      <c r="L162" s="5">
        <f>IF(H162="","",IFERROR(INDEX(Szabályok!$E$13:$E$200,MATCH(H162,Szabályok!$A$13:$A$200,0)),""))</f>
        <v/>
      </c>
      <c r="M162" s="5">
        <f>IF(H162="","",IFERROR(INDEX(Szabályok!$F$13:$F$200,MATCH(H162,Szabályok!$A$13:$A$200,0)),""))</f>
        <v/>
      </c>
      <c r="N162" s="5">
        <f>IF(H162="","",IFERROR(INDEX(Szabályok!$G$13:$G$200,MATCH(H162,Szabályok!$A$13:$A$200,0)),""))</f>
        <v/>
      </c>
      <c r="O162" s="5">
        <f>IF(H162="","",IFERROR(INDEX(Szabályok!$H$13:$H$200,MATCH(H162,Szabályok!$A$13:$A$200,0)),""))</f>
        <v/>
      </c>
      <c r="P162" s="5" t="n"/>
      <c r="Q162" s="6" t="n"/>
      <c r="R162" s="6" t="n"/>
      <c r="S162" s="6">
        <f>IF(COUNT(Q162:R162)=0,"",SUM(Q162:R162))</f>
        <v/>
      </c>
      <c r="T162" s="6" t="n"/>
      <c r="U162" s="5">
        <f>IF(T162="","",IF(L162&lt;&gt;"IGEN","IGEN",IF(S162&gt;=T162,"IGEN","NEM")))</f>
        <v/>
      </c>
      <c r="V162" s="5" t="n"/>
      <c r="W162" s="5" t="n"/>
      <c r="X162" s="5" t="n"/>
      <c r="Y162" s="5" t="n"/>
      <c r="Z162" s="5">
        <f>IF(X162="","",IF(COUNTIFS($X$5:$X$304,X162,$I$5:$I$304,"&lt;"&amp;I162)=0,I162,""))</f>
        <v/>
      </c>
      <c r="AA162" s="5">
        <f>IF(X162="","",IF(COUNTIFS($X$5:$X$304,X162,$I$5:$I$304,"&lt;"&amp;I162)&gt;0,"NEM",IF(COUNTIFS($X$5:$X$304,X162,$I$5:$I$304,I162)=1,"IGEN",IF(Y162=1,"IGEN","NEM"))))</f>
        <v/>
      </c>
      <c r="AB162" s="5">
        <f>IF(OR(I162="",J162=""),"",IF(OR(I162=0,V162="IGEN",W162="IGEN"),"X",IF(AND(K162&lt;&gt;"IGEN",L162="IGEN",U162="NEM"),"X",IF(AA162="IGEN",J162,"X"))))</f>
        <v/>
      </c>
      <c r="AC162" s="5">
        <f>IF(AB162="X",0,IF(D162="","",D162))</f>
        <v/>
      </c>
      <c r="AD162" s="5">
        <f>IF(AB162="X",IF(D162="","",D162),0)</f>
        <v/>
      </c>
      <c r="AE162" s="6" t="n"/>
      <c r="AF162" s="6">
        <f>IF(E162="","",SUMIFS($AI$5:AI162,$E$5:E162,E162)-AI162)</f>
        <v/>
      </c>
      <c r="AG162" s="6">
        <f>IF(AE162="","",MAX(0,AE162-AF162))</f>
        <v/>
      </c>
      <c r="AH162" s="6">
        <f>IF(S162="","",IF(OR(I162=0,V162="IGEN",W162="IGEN"),0,IF(AND(K162&lt;&gt;"IGEN",L162="IGEN",U162="NEM"),0,S162)))</f>
        <v/>
      </c>
      <c r="AI162" s="6">
        <f>IF(AH162="","",IF(M162="IGEN",MIN(AH162,AG162),AH162))</f>
        <v/>
      </c>
      <c r="AJ162" s="5" t="n"/>
    </row>
    <row r="163">
      <c r="A163" s="5" t="n"/>
      <c r="B163" s="5" t="n"/>
      <c r="C163" s="5" t="n"/>
      <c r="D163" s="5">
        <f>IF(AND(B163&lt;&gt;"",C163&lt;&gt;""),C163-B163+1,"")</f>
        <v/>
      </c>
      <c r="E163" s="5">
        <f>IF(B163&lt;&gt;"",YEAR(B163),"")</f>
        <v/>
      </c>
      <c r="F163" s="6" t="n"/>
      <c r="G163" s="6" t="n"/>
      <c r="H163" s="6" t="n"/>
      <c r="I163" s="5">
        <f>IF(H163="","",IFERROR(INDEX(Szabályok!$B$13:$B$200,MATCH(H163,Szabályok!$A$13:$A$200,0)),""))</f>
        <v/>
      </c>
      <c r="J163" s="5">
        <f>IF(H163="","",IFERROR(INDEX(Szabályok!$C$13:$C$200,MATCH(H163,Szabályok!$A$13:$A$200,0)),""))</f>
        <v/>
      </c>
      <c r="K163" s="5">
        <f>IF(H163="","",IFERROR(INDEX(Szabályok!$D$13:$D$200,MATCH(H163,Szabályok!$A$13:$A$200,0)),""))</f>
        <v/>
      </c>
      <c r="L163" s="5">
        <f>IF(H163="","",IFERROR(INDEX(Szabályok!$E$13:$E$200,MATCH(H163,Szabályok!$A$13:$A$200,0)),""))</f>
        <v/>
      </c>
      <c r="M163" s="5">
        <f>IF(H163="","",IFERROR(INDEX(Szabályok!$F$13:$F$200,MATCH(H163,Szabályok!$A$13:$A$200,0)),""))</f>
        <v/>
      </c>
      <c r="N163" s="5">
        <f>IF(H163="","",IFERROR(INDEX(Szabályok!$G$13:$G$200,MATCH(H163,Szabályok!$A$13:$A$200,0)),""))</f>
        <v/>
      </c>
      <c r="O163" s="5">
        <f>IF(H163="","",IFERROR(INDEX(Szabályok!$H$13:$H$200,MATCH(H163,Szabályok!$A$13:$A$200,0)),""))</f>
        <v/>
      </c>
      <c r="P163" s="5" t="n"/>
      <c r="Q163" s="6" t="n"/>
      <c r="R163" s="6" t="n"/>
      <c r="S163" s="6">
        <f>IF(COUNT(Q163:R163)=0,"",SUM(Q163:R163))</f>
        <v/>
      </c>
      <c r="T163" s="6" t="n"/>
      <c r="U163" s="5">
        <f>IF(T163="","",IF(L163&lt;&gt;"IGEN","IGEN",IF(S163&gt;=T163,"IGEN","NEM")))</f>
        <v/>
      </c>
      <c r="V163" s="5" t="n"/>
      <c r="W163" s="5" t="n"/>
      <c r="X163" s="5" t="n"/>
      <c r="Y163" s="5" t="n"/>
      <c r="Z163" s="5">
        <f>IF(X163="","",IF(COUNTIFS($X$5:$X$304,X163,$I$5:$I$304,"&lt;"&amp;I163)=0,I163,""))</f>
        <v/>
      </c>
      <c r="AA163" s="5">
        <f>IF(X163="","",IF(COUNTIFS($X$5:$X$304,X163,$I$5:$I$304,"&lt;"&amp;I163)&gt;0,"NEM",IF(COUNTIFS($X$5:$X$304,X163,$I$5:$I$304,I163)=1,"IGEN",IF(Y163=1,"IGEN","NEM"))))</f>
        <v/>
      </c>
      <c r="AB163" s="5">
        <f>IF(OR(I163="",J163=""),"",IF(OR(I163=0,V163="IGEN",W163="IGEN"),"X",IF(AND(K163&lt;&gt;"IGEN",L163="IGEN",U163="NEM"),"X",IF(AA163="IGEN",J163,"X"))))</f>
        <v/>
      </c>
      <c r="AC163" s="5">
        <f>IF(AB163="X",0,IF(D163="","",D163))</f>
        <v/>
      </c>
      <c r="AD163" s="5">
        <f>IF(AB163="X",IF(D163="","",D163),0)</f>
        <v/>
      </c>
      <c r="AE163" s="6" t="n"/>
      <c r="AF163" s="6">
        <f>IF(E163="","",SUMIFS($AI$5:AI163,$E$5:E163,E163)-AI163)</f>
        <v/>
      </c>
      <c r="AG163" s="6">
        <f>IF(AE163="","",MAX(0,AE163-AF163))</f>
        <v/>
      </c>
      <c r="AH163" s="6">
        <f>IF(S163="","",IF(OR(I163=0,V163="IGEN",W163="IGEN"),0,IF(AND(K163&lt;&gt;"IGEN",L163="IGEN",U163="NEM"),0,S163)))</f>
        <v/>
      </c>
      <c r="AI163" s="6">
        <f>IF(AH163="","",IF(M163="IGEN",MIN(AH163,AG163),AH163))</f>
        <v/>
      </c>
      <c r="AJ163" s="5" t="n"/>
    </row>
    <row r="164">
      <c r="A164" s="5" t="n"/>
      <c r="B164" s="5" t="n"/>
      <c r="C164" s="5" t="n"/>
      <c r="D164" s="5">
        <f>IF(AND(B164&lt;&gt;"",C164&lt;&gt;""),C164-B164+1,"")</f>
        <v/>
      </c>
      <c r="E164" s="5">
        <f>IF(B164&lt;&gt;"",YEAR(B164),"")</f>
        <v/>
      </c>
      <c r="F164" s="6" t="n"/>
      <c r="G164" s="6" t="n"/>
      <c r="H164" s="6" t="n"/>
      <c r="I164" s="5">
        <f>IF(H164="","",IFERROR(INDEX(Szabályok!$B$13:$B$200,MATCH(H164,Szabályok!$A$13:$A$200,0)),""))</f>
        <v/>
      </c>
      <c r="J164" s="5">
        <f>IF(H164="","",IFERROR(INDEX(Szabályok!$C$13:$C$200,MATCH(H164,Szabályok!$A$13:$A$200,0)),""))</f>
        <v/>
      </c>
      <c r="K164" s="5">
        <f>IF(H164="","",IFERROR(INDEX(Szabályok!$D$13:$D$200,MATCH(H164,Szabályok!$A$13:$A$200,0)),""))</f>
        <v/>
      </c>
      <c r="L164" s="5">
        <f>IF(H164="","",IFERROR(INDEX(Szabályok!$E$13:$E$200,MATCH(H164,Szabályok!$A$13:$A$200,0)),""))</f>
        <v/>
      </c>
      <c r="M164" s="5">
        <f>IF(H164="","",IFERROR(INDEX(Szabályok!$F$13:$F$200,MATCH(H164,Szabályok!$A$13:$A$200,0)),""))</f>
        <v/>
      </c>
      <c r="N164" s="5">
        <f>IF(H164="","",IFERROR(INDEX(Szabályok!$G$13:$G$200,MATCH(H164,Szabályok!$A$13:$A$200,0)),""))</f>
        <v/>
      </c>
      <c r="O164" s="5">
        <f>IF(H164="","",IFERROR(INDEX(Szabályok!$H$13:$H$200,MATCH(H164,Szabályok!$A$13:$A$200,0)),""))</f>
        <v/>
      </c>
      <c r="P164" s="5" t="n"/>
      <c r="Q164" s="6" t="n"/>
      <c r="R164" s="6" t="n"/>
      <c r="S164" s="6">
        <f>IF(COUNT(Q164:R164)=0,"",SUM(Q164:R164))</f>
        <v/>
      </c>
      <c r="T164" s="6" t="n"/>
      <c r="U164" s="5">
        <f>IF(T164="","",IF(L164&lt;&gt;"IGEN","IGEN",IF(S164&gt;=T164,"IGEN","NEM")))</f>
        <v/>
      </c>
      <c r="V164" s="5" t="n"/>
      <c r="W164" s="5" t="n"/>
      <c r="X164" s="5" t="n"/>
      <c r="Y164" s="5" t="n"/>
      <c r="Z164" s="5">
        <f>IF(X164="","",IF(COUNTIFS($X$5:$X$304,X164,$I$5:$I$304,"&lt;"&amp;I164)=0,I164,""))</f>
        <v/>
      </c>
      <c r="AA164" s="5">
        <f>IF(X164="","",IF(COUNTIFS($X$5:$X$304,X164,$I$5:$I$304,"&lt;"&amp;I164)&gt;0,"NEM",IF(COUNTIFS($X$5:$X$304,X164,$I$5:$I$304,I164)=1,"IGEN",IF(Y164=1,"IGEN","NEM"))))</f>
        <v/>
      </c>
      <c r="AB164" s="5">
        <f>IF(OR(I164="",J164=""),"",IF(OR(I164=0,V164="IGEN",W164="IGEN"),"X",IF(AND(K164&lt;&gt;"IGEN",L164="IGEN",U164="NEM"),"X",IF(AA164="IGEN",J164,"X"))))</f>
        <v/>
      </c>
      <c r="AC164" s="5">
        <f>IF(AB164="X",0,IF(D164="","",D164))</f>
        <v/>
      </c>
      <c r="AD164" s="5">
        <f>IF(AB164="X",IF(D164="","",D164),0)</f>
        <v/>
      </c>
      <c r="AE164" s="6" t="n"/>
      <c r="AF164" s="6">
        <f>IF(E164="","",SUMIFS($AI$5:AI164,$E$5:E164,E164)-AI164)</f>
        <v/>
      </c>
      <c r="AG164" s="6">
        <f>IF(AE164="","",MAX(0,AE164-AF164))</f>
        <v/>
      </c>
      <c r="AH164" s="6">
        <f>IF(S164="","",IF(OR(I164=0,V164="IGEN",W164="IGEN"),0,IF(AND(K164&lt;&gt;"IGEN",L164="IGEN",U164="NEM"),0,S164)))</f>
        <v/>
      </c>
      <c r="AI164" s="6">
        <f>IF(AH164="","",IF(M164="IGEN",MIN(AH164,AG164),AH164))</f>
        <v/>
      </c>
      <c r="AJ164" s="5" t="n"/>
    </row>
    <row r="165">
      <c r="A165" s="5" t="n"/>
      <c r="B165" s="5" t="n"/>
      <c r="C165" s="5" t="n"/>
      <c r="D165" s="5">
        <f>IF(AND(B165&lt;&gt;"",C165&lt;&gt;""),C165-B165+1,"")</f>
        <v/>
      </c>
      <c r="E165" s="5">
        <f>IF(B165&lt;&gt;"",YEAR(B165),"")</f>
        <v/>
      </c>
      <c r="F165" s="6" t="n"/>
      <c r="G165" s="6" t="n"/>
      <c r="H165" s="6" t="n"/>
      <c r="I165" s="5">
        <f>IF(H165="","",IFERROR(INDEX(Szabályok!$B$13:$B$200,MATCH(H165,Szabályok!$A$13:$A$200,0)),""))</f>
        <v/>
      </c>
      <c r="J165" s="5">
        <f>IF(H165="","",IFERROR(INDEX(Szabályok!$C$13:$C$200,MATCH(H165,Szabályok!$A$13:$A$200,0)),""))</f>
        <v/>
      </c>
      <c r="K165" s="5">
        <f>IF(H165="","",IFERROR(INDEX(Szabályok!$D$13:$D$200,MATCH(H165,Szabályok!$A$13:$A$200,0)),""))</f>
        <v/>
      </c>
      <c r="L165" s="5">
        <f>IF(H165="","",IFERROR(INDEX(Szabályok!$E$13:$E$200,MATCH(H165,Szabályok!$A$13:$A$200,0)),""))</f>
        <v/>
      </c>
      <c r="M165" s="5">
        <f>IF(H165="","",IFERROR(INDEX(Szabályok!$F$13:$F$200,MATCH(H165,Szabályok!$A$13:$A$200,0)),""))</f>
        <v/>
      </c>
      <c r="N165" s="5">
        <f>IF(H165="","",IFERROR(INDEX(Szabályok!$G$13:$G$200,MATCH(H165,Szabályok!$A$13:$A$200,0)),""))</f>
        <v/>
      </c>
      <c r="O165" s="5">
        <f>IF(H165="","",IFERROR(INDEX(Szabályok!$H$13:$H$200,MATCH(H165,Szabályok!$A$13:$A$200,0)),""))</f>
        <v/>
      </c>
      <c r="P165" s="5" t="n"/>
      <c r="Q165" s="6" t="n"/>
      <c r="R165" s="6" t="n"/>
      <c r="S165" s="6">
        <f>IF(COUNT(Q165:R165)=0,"",SUM(Q165:R165))</f>
        <v/>
      </c>
      <c r="T165" s="6" t="n"/>
      <c r="U165" s="5">
        <f>IF(T165="","",IF(L165&lt;&gt;"IGEN","IGEN",IF(S165&gt;=T165,"IGEN","NEM")))</f>
        <v/>
      </c>
      <c r="V165" s="5" t="n"/>
      <c r="W165" s="5" t="n"/>
      <c r="X165" s="5" t="n"/>
      <c r="Y165" s="5" t="n"/>
      <c r="Z165" s="5">
        <f>IF(X165="","",IF(COUNTIFS($X$5:$X$304,X165,$I$5:$I$304,"&lt;"&amp;I165)=0,I165,""))</f>
        <v/>
      </c>
      <c r="AA165" s="5">
        <f>IF(X165="","",IF(COUNTIFS($X$5:$X$304,X165,$I$5:$I$304,"&lt;"&amp;I165)&gt;0,"NEM",IF(COUNTIFS($X$5:$X$304,X165,$I$5:$I$304,I165)=1,"IGEN",IF(Y165=1,"IGEN","NEM"))))</f>
        <v/>
      </c>
      <c r="AB165" s="5">
        <f>IF(OR(I165="",J165=""),"",IF(OR(I165=0,V165="IGEN",W165="IGEN"),"X",IF(AND(K165&lt;&gt;"IGEN",L165="IGEN",U165="NEM"),"X",IF(AA165="IGEN",J165,"X"))))</f>
        <v/>
      </c>
      <c r="AC165" s="5">
        <f>IF(AB165="X",0,IF(D165="","",D165))</f>
        <v/>
      </c>
      <c r="AD165" s="5">
        <f>IF(AB165="X",IF(D165="","",D165),0)</f>
        <v/>
      </c>
      <c r="AE165" s="6" t="n"/>
      <c r="AF165" s="6">
        <f>IF(E165="","",SUMIFS($AI$5:AI165,$E$5:E165,E165)-AI165)</f>
        <v/>
      </c>
      <c r="AG165" s="6">
        <f>IF(AE165="","",MAX(0,AE165-AF165))</f>
        <v/>
      </c>
      <c r="AH165" s="6">
        <f>IF(S165="","",IF(OR(I165=0,V165="IGEN",W165="IGEN"),0,IF(AND(K165&lt;&gt;"IGEN",L165="IGEN",U165="NEM"),0,S165)))</f>
        <v/>
      </c>
      <c r="AI165" s="6">
        <f>IF(AH165="","",IF(M165="IGEN",MIN(AH165,AG165),AH165))</f>
        <v/>
      </c>
      <c r="AJ165" s="5" t="n"/>
    </row>
    <row r="166">
      <c r="A166" s="5" t="n"/>
      <c r="B166" s="5" t="n"/>
      <c r="C166" s="5" t="n"/>
      <c r="D166" s="5">
        <f>IF(AND(B166&lt;&gt;"",C166&lt;&gt;""),C166-B166+1,"")</f>
        <v/>
      </c>
      <c r="E166" s="5">
        <f>IF(B166&lt;&gt;"",YEAR(B166),"")</f>
        <v/>
      </c>
      <c r="F166" s="6" t="n"/>
      <c r="G166" s="6" t="n"/>
      <c r="H166" s="6" t="n"/>
      <c r="I166" s="5">
        <f>IF(H166="","",IFERROR(INDEX(Szabályok!$B$13:$B$200,MATCH(H166,Szabályok!$A$13:$A$200,0)),""))</f>
        <v/>
      </c>
      <c r="J166" s="5">
        <f>IF(H166="","",IFERROR(INDEX(Szabályok!$C$13:$C$200,MATCH(H166,Szabályok!$A$13:$A$200,0)),""))</f>
        <v/>
      </c>
      <c r="K166" s="5">
        <f>IF(H166="","",IFERROR(INDEX(Szabályok!$D$13:$D$200,MATCH(H166,Szabályok!$A$13:$A$200,0)),""))</f>
        <v/>
      </c>
      <c r="L166" s="5">
        <f>IF(H166="","",IFERROR(INDEX(Szabályok!$E$13:$E$200,MATCH(H166,Szabályok!$A$13:$A$200,0)),""))</f>
        <v/>
      </c>
      <c r="M166" s="5">
        <f>IF(H166="","",IFERROR(INDEX(Szabályok!$F$13:$F$200,MATCH(H166,Szabályok!$A$13:$A$200,0)),""))</f>
        <v/>
      </c>
      <c r="N166" s="5">
        <f>IF(H166="","",IFERROR(INDEX(Szabályok!$G$13:$G$200,MATCH(H166,Szabályok!$A$13:$A$200,0)),""))</f>
        <v/>
      </c>
      <c r="O166" s="5">
        <f>IF(H166="","",IFERROR(INDEX(Szabályok!$H$13:$H$200,MATCH(H166,Szabályok!$A$13:$A$200,0)),""))</f>
        <v/>
      </c>
      <c r="P166" s="5" t="n"/>
      <c r="Q166" s="6" t="n"/>
      <c r="R166" s="6" t="n"/>
      <c r="S166" s="6">
        <f>IF(COUNT(Q166:R166)=0,"",SUM(Q166:R166))</f>
        <v/>
      </c>
      <c r="T166" s="6" t="n"/>
      <c r="U166" s="5">
        <f>IF(T166="","",IF(L166&lt;&gt;"IGEN","IGEN",IF(S166&gt;=T166,"IGEN","NEM")))</f>
        <v/>
      </c>
      <c r="V166" s="5" t="n"/>
      <c r="W166" s="5" t="n"/>
      <c r="X166" s="5" t="n"/>
      <c r="Y166" s="5" t="n"/>
      <c r="Z166" s="5">
        <f>IF(X166="","",IF(COUNTIFS($X$5:$X$304,X166,$I$5:$I$304,"&lt;"&amp;I166)=0,I166,""))</f>
        <v/>
      </c>
      <c r="AA166" s="5">
        <f>IF(X166="","",IF(COUNTIFS($X$5:$X$304,X166,$I$5:$I$304,"&lt;"&amp;I166)&gt;0,"NEM",IF(COUNTIFS($X$5:$X$304,X166,$I$5:$I$304,I166)=1,"IGEN",IF(Y166=1,"IGEN","NEM"))))</f>
        <v/>
      </c>
      <c r="AB166" s="5">
        <f>IF(OR(I166="",J166=""),"",IF(OR(I166=0,V166="IGEN",W166="IGEN"),"X",IF(AND(K166&lt;&gt;"IGEN",L166="IGEN",U166="NEM"),"X",IF(AA166="IGEN",J166,"X"))))</f>
        <v/>
      </c>
      <c r="AC166" s="5">
        <f>IF(AB166="X",0,IF(D166="","",D166))</f>
        <v/>
      </c>
      <c r="AD166" s="5">
        <f>IF(AB166="X",IF(D166="","",D166),0)</f>
        <v/>
      </c>
      <c r="AE166" s="6" t="n"/>
      <c r="AF166" s="6">
        <f>IF(E166="","",SUMIFS($AI$5:AI166,$E$5:E166,E166)-AI166)</f>
        <v/>
      </c>
      <c r="AG166" s="6">
        <f>IF(AE166="","",MAX(0,AE166-AF166))</f>
        <v/>
      </c>
      <c r="AH166" s="6">
        <f>IF(S166="","",IF(OR(I166=0,V166="IGEN",W166="IGEN"),0,IF(AND(K166&lt;&gt;"IGEN",L166="IGEN",U166="NEM"),0,S166)))</f>
        <v/>
      </c>
      <c r="AI166" s="6">
        <f>IF(AH166="","",IF(M166="IGEN",MIN(AH166,AG166),AH166))</f>
        <v/>
      </c>
      <c r="AJ166" s="5" t="n"/>
    </row>
    <row r="167">
      <c r="A167" s="5" t="n"/>
      <c r="B167" s="5" t="n"/>
      <c r="C167" s="5" t="n"/>
      <c r="D167" s="5">
        <f>IF(AND(B167&lt;&gt;"",C167&lt;&gt;""),C167-B167+1,"")</f>
        <v/>
      </c>
      <c r="E167" s="5">
        <f>IF(B167&lt;&gt;"",YEAR(B167),"")</f>
        <v/>
      </c>
      <c r="F167" s="6" t="n"/>
      <c r="G167" s="6" t="n"/>
      <c r="H167" s="6" t="n"/>
      <c r="I167" s="5">
        <f>IF(H167="","",IFERROR(INDEX(Szabályok!$B$13:$B$200,MATCH(H167,Szabályok!$A$13:$A$200,0)),""))</f>
        <v/>
      </c>
      <c r="J167" s="5">
        <f>IF(H167="","",IFERROR(INDEX(Szabályok!$C$13:$C$200,MATCH(H167,Szabályok!$A$13:$A$200,0)),""))</f>
        <v/>
      </c>
      <c r="K167" s="5">
        <f>IF(H167="","",IFERROR(INDEX(Szabályok!$D$13:$D$200,MATCH(H167,Szabályok!$A$13:$A$200,0)),""))</f>
        <v/>
      </c>
      <c r="L167" s="5">
        <f>IF(H167="","",IFERROR(INDEX(Szabályok!$E$13:$E$200,MATCH(H167,Szabályok!$A$13:$A$200,0)),""))</f>
        <v/>
      </c>
      <c r="M167" s="5">
        <f>IF(H167="","",IFERROR(INDEX(Szabályok!$F$13:$F$200,MATCH(H167,Szabályok!$A$13:$A$200,0)),""))</f>
        <v/>
      </c>
      <c r="N167" s="5">
        <f>IF(H167="","",IFERROR(INDEX(Szabályok!$G$13:$G$200,MATCH(H167,Szabályok!$A$13:$A$200,0)),""))</f>
        <v/>
      </c>
      <c r="O167" s="5">
        <f>IF(H167="","",IFERROR(INDEX(Szabályok!$H$13:$H$200,MATCH(H167,Szabályok!$A$13:$A$200,0)),""))</f>
        <v/>
      </c>
      <c r="P167" s="5" t="n"/>
      <c r="Q167" s="6" t="n"/>
      <c r="R167" s="6" t="n"/>
      <c r="S167" s="6">
        <f>IF(COUNT(Q167:R167)=0,"",SUM(Q167:R167))</f>
        <v/>
      </c>
      <c r="T167" s="6" t="n"/>
      <c r="U167" s="5">
        <f>IF(T167="","",IF(L167&lt;&gt;"IGEN","IGEN",IF(S167&gt;=T167,"IGEN","NEM")))</f>
        <v/>
      </c>
      <c r="V167" s="5" t="n"/>
      <c r="W167" s="5" t="n"/>
      <c r="X167" s="5" t="n"/>
      <c r="Y167" s="5" t="n"/>
      <c r="Z167" s="5">
        <f>IF(X167="","",IF(COUNTIFS($X$5:$X$304,X167,$I$5:$I$304,"&lt;"&amp;I167)=0,I167,""))</f>
        <v/>
      </c>
      <c r="AA167" s="5">
        <f>IF(X167="","",IF(COUNTIFS($X$5:$X$304,X167,$I$5:$I$304,"&lt;"&amp;I167)&gt;0,"NEM",IF(COUNTIFS($X$5:$X$304,X167,$I$5:$I$304,I167)=1,"IGEN",IF(Y167=1,"IGEN","NEM"))))</f>
        <v/>
      </c>
      <c r="AB167" s="5">
        <f>IF(OR(I167="",J167=""),"",IF(OR(I167=0,V167="IGEN",W167="IGEN"),"X",IF(AND(K167&lt;&gt;"IGEN",L167="IGEN",U167="NEM"),"X",IF(AA167="IGEN",J167,"X"))))</f>
        <v/>
      </c>
      <c r="AC167" s="5">
        <f>IF(AB167="X",0,IF(D167="","",D167))</f>
        <v/>
      </c>
      <c r="AD167" s="5">
        <f>IF(AB167="X",IF(D167="","",D167),0)</f>
        <v/>
      </c>
      <c r="AE167" s="6" t="n"/>
      <c r="AF167" s="6">
        <f>IF(E167="","",SUMIFS($AI$5:AI167,$E$5:E167,E167)-AI167)</f>
        <v/>
      </c>
      <c r="AG167" s="6">
        <f>IF(AE167="","",MAX(0,AE167-AF167))</f>
        <v/>
      </c>
      <c r="AH167" s="6">
        <f>IF(S167="","",IF(OR(I167=0,V167="IGEN",W167="IGEN"),0,IF(AND(K167&lt;&gt;"IGEN",L167="IGEN",U167="NEM"),0,S167)))</f>
        <v/>
      </c>
      <c r="AI167" s="6">
        <f>IF(AH167="","",IF(M167="IGEN",MIN(AH167,AG167),AH167))</f>
        <v/>
      </c>
      <c r="AJ167" s="5" t="n"/>
    </row>
    <row r="168">
      <c r="A168" s="5" t="n"/>
      <c r="B168" s="5" t="n"/>
      <c r="C168" s="5" t="n"/>
      <c r="D168" s="5">
        <f>IF(AND(B168&lt;&gt;"",C168&lt;&gt;""),C168-B168+1,"")</f>
        <v/>
      </c>
      <c r="E168" s="5">
        <f>IF(B168&lt;&gt;"",YEAR(B168),"")</f>
        <v/>
      </c>
      <c r="F168" s="6" t="n"/>
      <c r="G168" s="6" t="n"/>
      <c r="H168" s="6" t="n"/>
      <c r="I168" s="5">
        <f>IF(H168="","",IFERROR(INDEX(Szabályok!$B$13:$B$200,MATCH(H168,Szabályok!$A$13:$A$200,0)),""))</f>
        <v/>
      </c>
      <c r="J168" s="5">
        <f>IF(H168="","",IFERROR(INDEX(Szabályok!$C$13:$C$200,MATCH(H168,Szabályok!$A$13:$A$200,0)),""))</f>
        <v/>
      </c>
      <c r="K168" s="5">
        <f>IF(H168="","",IFERROR(INDEX(Szabályok!$D$13:$D$200,MATCH(H168,Szabályok!$A$13:$A$200,0)),""))</f>
        <v/>
      </c>
      <c r="L168" s="5">
        <f>IF(H168="","",IFERROR(INDEX(Szabályok!$E$13:$E$200,MATCH(H168,Szabályok!$A$13:$A$200,0)),""))</f>
        <v/>
      </c>
      <c r="M168" s="5">
        <f>IF(H168="","",IFERROR(INDEX(Szabályok!$F$13:$F$200,MATCH(H168,Szabályok!$A$13:$A$200,0)),""))</f>
        <v/>
      </c>
      <c r="N168" s="5">
        <f>IF(H168="","",IFERROR(INDEX(Szabályok!$G$13:$G$200,MATCH(H168,Szabályok!$A$13:$A$200,0)),""))</f>
        <v/>
      </c>
      <c r="O168" s="5">
        <f>IF(H168="","",IFERROR(INDEX(Szabályok!$H$13:$H$200,MATCH(H168,Szabályok!$A$13:$A$200,0)),""))</f>
        <v/>
      </c>
      <c r="P168" s="5" t="n"/>
      <c r="Q168" s="6" t="n"/>
      <c r="R168" s="6" t="n"/>
      <c r="S168" s="6">
        <f>IF(COUNT(Q168:R168)=0,"",SUM(Q168:R168))</f>
        <v/>
      </c>
      <c r="T168" s="6" t="n"/>
      <c r="U168" s="5">
        <f>IF(T168="","",IF(L168&lt;&gt;"IGEN","IGEN",IF(S168&gt;=T168,"IGEN","NEM")))</f>
        <v/>
      </c>
      <c r="V168" s="5" t="n"/>
      <c r="W168" s="5" t="n"/>
      <c r="X168" s="5" t="n"/>
      <c r="Y168" s="5" t="n"/>
      <c r="Z168" s="5">
        <f>IF(X168="","",IF(COUNTIFS($X$5:$X$304,X168,$I$5:$I$304,"&lt;"&amp;I168)=0,I168,""))</f>
        <v/>
      </c>
      <c r="AA168" s="5">
        <f>IF(X168="","",IF(COUNTIFS($X$5:$X$304,X168,$I$5:$I$304,"&lt;"&amp;I168)&gt;0,"NEM",IF(COUNTIFS($X$5:$X$304,X168,$I$5:$I$304,I168)=1,"IGEN",IF(Y168=1,"IGEN","NEM"))))</f>
        <v/>
      </c>
      <c r="AB168" s="5">
        <f>IF(OR(I168="",J168=""),"",IF(OR(I168=0,V168="IGEN",W168="IGEN"),"X",IF(AND(K168&lt;&gt;"IGEN",L168="IGEN",U168="NEM"),"X",IF(AA168="IGEN",J168,"X"))))</f>
        <v/>
      </c>
      <c r="AC168" s="5">
        <f>IF(AB168="X",0,IF(D168="","",D168))</f>
        <v/>
      </c>
      <c r="AD168" s="5">
        <f>IF(AB168="X",IF(D168="","",D168),0)</f>
        <v/>
      </c>
      <c r="AE168" s="6" t="n"/>
      <c r="AF168" s="6">
        <f>IF(E168="","",SUMIFS($AI$5:AI168,$E$5:E168,E168)-AI168)</f>
        <v/>
      </c>
      <c r="AG168" s="6">
        <f>IF(AE168="","",MAX(0,AE168-AF168))</f>
        <v/>
      </c>
      <c r="AH168" s="6">
        <f>IF(S168="","",IF(OR(I168=0,V168="IGEN",W168="IGEN"),0,IF(AND(K168&lt;&gt;"IGEN",L168="IGEN",U168="NEM"),0,S168)))</f>
        <v/>
      </c>
      <c r="AI168" s="6">
        <f>IF(AH168="","",IF(M168="IGEN",MIN(AH168,AG168),AH168))</f>
        <v/>
      </c>
      <c r="AJ168" s="5" t="n"/>
    </row>
    <row r="169">
      <c r="A169" s="5" t="n"/>
      <c r="B169" s="5" t="n"/>
      <c r="C169" s="5" t="n"/>
      <c r="D169" s="5">
        <f>IF(AND(B169&lt;&gt;"",C169&lt;&gt;""),C169-B169+1,"")</f>
        <v/>
      </c>
      <c r="E169" s="5">
        <f>IF(B169&lt;&gt;"",YEAR(B169),"")</f>
        <v/>
      </c>
      <c r="F169" s="6" t="n"/>
      <c r="G169" s="6" t="n"/>
      <c r="H169" s="6" t="n"/>
      <c r="I169" s="5">
        <f>IF(H169="","",IFERROR(INDEX(Szabályok!$B$13:$B$200,MATCH(H169,Szabályok!$A$13:$A$200,0)),""))</f>
        <v/>
      </c>
      <c r="J169" s="5">
        <f>IF(H169="","",IFERROR(INDEX(Szabályok!$C$13:$C$200,MATCH(H169,Szabályok!$A$13:$A$200,0)),""))</f>
        <v/>
      </c>
      <c r="K169" s="5">
        <f>IF(H169="","",IFERROR(INDEX(Szabályok!$D$13:$D$200,MATCH(H169,Szabályok!$A$13:$A$200,0)),""))</f>
        <v/>
      </c>
      <c r="L169" s="5">
        <f>IF(H169="","",IFERROR(INDEX(Szabályok!$E$13:$E$200,MATCH(H169,Szabályok!$A$13:$A$200,0)),""))</f>
        <v/>
      </c>
      <c r="M169" s="5">
        <f>IF(H169="","",IFERROR(INDEX(Szabályok!$F$13:$F$200,MATCH(H169,Szabályok!$A$13:$A$200,0)),""))</f>
        <v/>
      </c>
      <c r="N169" s="5">
        <f>IF(H169="","",IFERROR(INDEX(Szabályok!$G$13:$G$200,MATCH(H169,Szabályok!$A$13:$A$200,0)),""))</f>
        <v/>
      </c>
      <c r="O169" s="5">
        <f>IF(H169="","",IFERROR(INDEX(Szabályok!$H$13:$H$200,MATCH(H169,Szabályok!$A$13:$A$200,0)),""))</f>
        <v/>
      </c>
      <c r="P169" s="5" t="n"/>
      <c r="Q169" s="6" t="n"/>
      <c r="R169" s="6" t="n"/>
      <c r="S169" s="6">
        <f>IF(COUNT(Q169:R169)=0,"",SUM(Q169:R169))</f>
        <v/>
      </c>
      <c r="T169" s="6" t="n"/>
      <c r="U169" s="5">
        <f>IF(T169="","",IF(L169&lt;&gt;"IGEN","IGEN",IF(S169&gt;=T169,"IGEN","NEM")))</f>
        <v/>
      </c>
      <c r="V169" s="5" t="n"/>
      <c r="W169" s="5" t="n"/>
      <c r="X169" s="5" t="n"/>
      <c r="Y169" s="5" t="n"/>
      <c r="Z169" s="5">
        <f>IF(X169="","",IF(COUNTIFS($X$5:$X$304,X169,$I$5:$I$304,"&lt;"&amp;I169)=0,I169,""))</f>
        <v/>
      </c>
      <c r="AA169" s="5">
        <f>IF(X169="","",IF(COUNTIFS($X$5:$X$304,X169,$I$5:$I$304,"&lt;"&amp;I169)&gt;0,"NEM",IF(COUNTIFS($X$5:$X$304,X169,$I$5:$I$304,I169)=1,"IGEN",IF(Y169=1,"IGEN","NEM"))))</f>
        <v/>
      </c>
      <c r="AB169" s="5">
        <f>IF(OR(I169="",J169=""),"",IF(OR(I169=0,V169="IGEN",W169="IGEN"),"X",IF(AND(K169&lt;&gt;"IGEN",L169="IGEN",U169="NEM"),"X",IF(AA169="IGEN",J169,"X"))))</f>
        <v/>
      </c>
      <c r="AC169" s="5">
        <f>IF(AB169="X",0,IF(D169="","",D169))</f>
        <v/>
      </c>
      <c r="AD169" s="5">
        <f>IF(AB169="X",IF(D169="","",D169),0)</f>
        <v/>
      </c>
      <c r="AE169" s="6" t="n"/>
      <c r="AF169" s="6">
        <f>IF(E169="","",SUMIFS($AI$5:AI169,$E$5:E169,E169)-AI169)</f>
        <v/>
      </c>
      <c r="AG169" s="6">
        <f>IF(AE169="","",MAX(0,AE169-AF169))</f>
        <v/>
      </c>
      <c r="AH169" s="6">
        <f>IF(S169="","",IF(OR(I169=0,V169="IGEN",W169="IGEN"),0,IF(AND(K169&lt;&gt;"IGEN",L169="IGEN",U169="NEM"),0,S169)))</f>
        <v/>
      </c>
      <c r="AI169" s="6">
        <f>IF(AH169="","",IF(M169="IGEN",MIN(AH169,AG169),AH169))</f>
        <v/>
      </c>
      <c r="AJ169" s="5" t="n"/>
    </row>
    <row r="170">
      <c r="A170" s="5" t="n"/>
      <c r="B170" s="5" t="n"/>
      <c r="C170" s="5" t="n"/>
      <c r="D170" s="5">
        <f>IF(AND(B170&lt;&gt;"",C170&lt;&gt;""),C170-B170+1,"")</f>
        <v/>
      </c>
      <c r="E170" s="5">
        <f>IF(B170&lt;&gt;"",YEAR(B170),"")</f>
        <v/>
      </c>
      <c r="F170" s="6" t="n"/>
      <c r="G170" s="6" t="n"/>
      <c r="H170" s="6" t="n"/>
      <c r="I170" s="5">
        <f>IF(H170="","",IFERROR(INDEX(Szabályok!$B$13:$B$200,MATCH(H170,Szabályok!$A$13:$A$200,0)),""))</f>
        <v/>
      </c>
      <c r="J170" s="5">
        <f>IF(H170="","",IFERROR(INDEX(Szabályok!$C$13:$C$200,MATCH(H170,Szabályok!$A$13:$A$200,0)),""))</f>
        <v/>
      </c>
      <c r="K170" s="5">
        <f>IF(H170="","",IFERROR(INDEX(Szabályok!$D$13:$D$200,MATCH(H170,Szabályok!$A$13:$A$200,0)),""))</f>
        <v/>
      </c>
      <c r="L170" s="5">
        <f>IF(H170="","",IFERROR(INDEX(Szabályok!$E$13:$E$200,MATCH(H170,Szabályok!$A$13:$A$200,0)),""))</f>
        <v/>
      </c>
      <c r="M170" s="5">
        <f>IF(H170="","",IFERROR(INDEX(Szabályok!$F$13:$F$200,MATCH(H170,Szabályok!$A$13:$A$200,0)),""))</f>
        <v/>
      </c>
      <c r="N170" s="5">
        <f>IF(H170="","",IFERROR(INDEX(Szabályok!$G$13:$G$200,MATCH(H170,Szabályok!$A$13:$A$200,0)),""))</f>
        <v/>
      </c>
      <c r="O170" s="5">
        <f>IF(H170="","",IFERROR(INDEX(Szabályok!$H$13:$H$200,MATCH(H170,Szabályok!$A$13:$A$200,0)),""))</f>
        <v/>
      </c>
      <c r="P170" s="5" t="n"/>
      <c r="Q170" s="6" t="n"/>
      <c r="R170" s="6" t="n"/>
      <c r="S170" s="6">
        <f>IF(COUNT(Q170:R170)=0,"",SUM(Q170:R170))</f>
        <v/>
      </c>
      <c r="T170" s="6" t="n"/>
      <c r="U170" s="5">
        <f>IF(T170="","",IF(L170&lt;&gt;"IGEN","IGEN",IF(S170&gt;=T170,"IGEN","NEM")))</f>
        <v/>
      </c>
      <c r="V170" s="5" t="n"/>
      <c r="W170" s="5" t="n"/>
      <c r="X170" s="5" t="n"/>
      <c r="Y170" s="5" t="n"/>
      <c r="Z170" s="5">
        <f>IF(X170="","",IF(COUNTIFS($X$5:$X$304,X170,$I$5:$I$304,"&lt;"&amp;I170)=0,I170,""))</f>
        <v/>
      </c>
      <c r="AA170" s="5">
        <f>IF(X170="","",IF(COUNTIFS($X$5:$X$304,X170,$I$5:$I$304,"&lt;"&amp;I170)&gt;0,"NEM",IF(COUNTIFS($X$5:$X$304,X170,$I$5:$I$304,I170)=1,"IGEN",IF(Y170=1,"IGEN","NEM"))))</f>
        <v/>
      </c>
      <c r="AB170" s="5">
        <f>IF(OR(I170="",J170=""),"",IF(OR(I170=0,V170="IGEN",W170="IGEN"),"X",IF(AND(K170&lt;&gt;"IGEN",L170="IGEN",U170="NEM"),"X",IF(AA170="IGEN",J170,"X"))))</f>
        <v/>
      </c>
      <c r="AC170" s="5">
        <f>IF(AB170="X",0,IF(D170="","",D170))</f>
        <v/>
      </c>
      <c r="AD170" s="5">
        <f>IF(AB170="X",IF(D170="","",D170),0)</f>
        <v/>
      </c>
      <c r="AE170" s="6" t="n"/>
      <c r="AF170" s="6">
        <f>IF(E170="","",SUMIFS($AI$5:AI170,$E$5:E170,E170)-AI170)</f>
        <v/>
      </c>
      <c r="AG170" s="6">
        <f>IF(AE170="","",MAX(0,AE170-AF170))</f>
        <v/>
      </c>
      <c r="AH170" s="6">
        <f>IF(S170="","",IF(OR(I170=0,V170="IGEN",W170="IGEN"),0,IF(AND(K170&lt;&gt;"IGEN",L170="IGEN",U170="NEM"),0,S170)))</f>
        <v/>
      </c>
      <c r="AI170" s="6">
        <f>IF(AH170="","",IF(M170="IGEN",MIN(AH170,AG170),AH170))</f>
        <v/>
      </c>
      <c r="AJ170" s="5" t="n"/>
    </row>
    <row r="171">
      <c r="A171" s="5" t="n"/>
      <c r="B171" s="5" t="n"/>
      <c r="C171" s="5" t="n"/>
      <c r="D171" s="5">
        <f>IF(AND(B171&lt;&gt;"",C171&lt;&gt;""),C171-B171+1,"")</f>
        <v/>
      </c>
      <c r="E171" s="5">
        <f>IF(B171&lt;&gt;"",YEAR(B171),"")</f>
        <v/>
      </c>
      <c r="F171" s="6" t="n"/>
      <c r="G171" s="6" t="n"/>
      <c r="H171" s="6" t="n"/>
      <c r="I171" s="5">
        <f>IF(H171="","",IFERROR(INDEX(Szabályok!$B$13:$B$200,MATCH(H171,Szabályok!$A$13:$A$200,0)),""))</f>
        <v/>
      </c>
      <c r="J171" s="5">
        <f>IF(H171="","",IFERROR(INDEX(Szabályok!$C$13:$C$200,MATCH(H171,Szabályok!$A$13:$A$200,0)),""))</f>
        <v/>
      </c>
      <c r="K171" s="5">
        <f>IF(H171="","",IFERROR(INDEX(Szabályok!$D$13:$D$200,MATCH(H171,Szabályok!$A$13:$A$200,0)),""))</f>
        <v/>
      </c>
      <c r="L171" s="5">
        <f>IF(H171="","",IFERROR(INDEX(Szabályok!$E$13:$E$200,MATCH(H171,Szabályok!$A$13:$A$200,0)),""))</f>
        <v/>
      </c>
      <c r="M171" s="5">
        <f>IF(H171="","",IFERROR(INDEX(Szabályok!$F$13:$F$200,MATCH(H171,Szabályok!$A$13:$A$200,0)),""))</f>
        <v/>
      </c>
      <c r="N171" s="5">
        <f>IF(H171="","",IFERROR(INDEX(Szabályok!$G$13:$G$200,MATCH(H171,Szabályok!$A$13:$A$200,0)),""))</f>
        <v/>
      </c>
      <c r="O171" s="5">
        <f>IF(H171="","",IFERROR(INDEX(Szabályok!$H$13:$H$200,MATCH(H171,Szabályok!$A$13:$A$200,0)),""))</f>
        <v/>
      </c>
      <c r="P171" s="5" t="n"/>
      <c r="Q171" s="6" t="n"/>
      <c r="R171" s="6" t="n"/>
      <c r="S171" s="6">
        <f>IF(COUNT(Q171:R171)=0,"",SUM(Q171:R171))</f>
        <v/>
      </c>
      <c r="T171" s="6" t="n"/>
      <c r="U171" s="5">
        <f>IF(T171="","",IF(L171&lt;&gt;"IGEN","IGEN",IF(S171&gt;=T171,"IGEN","NEM")))</f>
        <v/>
      </c>
      <c r="V171" s="5" t="n"/>
      <c r="W171" s="5" t="n"/>
      <c r="X171" s="5" t="n"/>
      <c r="Y171" s="5" t="n"/>
      <c r="Z171" s="5">
        <f>IF(X171="","",IF(COUNTIFS($X$5:$X$304,X171,$I$5:$I$304,"&lt;"&amp;I171)=0,I171,""))</f>
        <v/>
      </c>
      <c r="AA171" s="5">
        <f>IF(X171="","",IF(COUNTIFS($X$5:$X$304,X171,$I$5:$I$304,"&lt;"&amp;I171)&gt;0,"NEM",IF(COUNTIFS($X$5:$X$304,X171,$I$5:$I$304,I171)=1,"IGEN",IF(Y171=1,"IGEN","NEM"))))</f>
        <v/>
      </c>
      <c r="AB171" s="5">
        <f>IF(OR(I171="",J171=""),"",IF(OR(I171=0,V171="IGEN",W171="IGEN"),"X",IF(AND(K171&lt;&gt;"IGEN",L171="IGEN",U171="NEM"),"X",IF(AA171="IGEN",J171,"X"))))</f>
        <v/>
      </c>
      <c r="AC171" s="5">
        <f>IF(AB171="X",0,IF(D171="","",D171))</f>
        <v/>
      </c>
      <c r="AD171" s="5">
        <f>IF(AB171="X",IF(D171="","",D171),0)</f>
        <v/>
      </c>
      <c r="AE171" s="6" t="n"/>
      <c r="AF171" s="6">
        <f>IF(E171="","",SUMIFS($AI$5:AI171,$E$5:E171,E171)-AI171)</f>
        <v/>
      </c>
      <c r="AG171" s="6">
        <f>IF(AE171="","",MAX(0,AE171-AF171))</f>
        <v/>
      </c>
      <c r="AH171" s="6">
        <f>IF(S171="","",IF(OR(I171=0,V171="IGEN",W171="IGEN"),0,IF(AND(K171&lt;&gt;"IGEN",L171="IGEN",U171="NEM"),0,S171)))</f>
        <v/>
      </c>
      <c r="AI171" s="6">
        <f>IF(AH171="","",IF(M171="IGEN",MIN(AH171,AG171),AH171))</f>
        <v/>
      </c>
      <c r="AJ171" s="5" t="n"/>
    </row>
    <row r="172">
      <c r="A172" s="5" t="n"/>
      <c r="B172" s="5" t="n"/>
      <c r="C172" s="5" t="n"/>
      <c r="D172" s="5">
        <f>IF(AND(B172&lt;&gt;"",C172&lt;&gt;""),C172-B172+1,"")</f>
        <v/>
      </c>
      <c r="E172" s="5">
        <f>IF(B172&lt;&gt;"",YEAR(B172),"")</f>
        <v/>
      </c>
      <c r="F172" s="6" t="n"/>
      <c r="G172" s="6" t="n"/>
      <c r="H172" s="6" t="n"/>
      <c r="I172" s="5">
        <f>IF(H172="","",IFERROR(INDEX(Szabályok!$B$13:$B$200,MATCH(H172,Szabályok!$A$13:$A$200,0)),""))</f>
        <v/>
      </c>
      <c r="J172" s="5">
        <f>IF(H172="","",IFERROR(INDEX(Szabályok!$C$13:$C$200,MATCH(H172,Szabályok!$A$13:$A$200,0)),""))</f>
        <v/>
      </c>
      <c r="K172" s="5">
        <f>IF(H172="","",IFERROR(INDEX(Szabályok!$D$13:$D$200,MATCH(H172,Szabályok!$A$13:$A$200,0)),""))</f>
        <v/>
      </c>
      <c r="L172" s="5">
        <f>IF(H172="","",IFERROR(INDEX(Szabályok!$E$13:$E$200,MATCH(H172,Szabályok!$A$13:$A$200,0)),""))</f>
        <v/>
      </c>
      <c r="M172" s="5">
        <f>IF(H172="","",IFERROR(INDEX(Szabályok!$F$13:$F$200,MATCH(H172,Szabályok!$A$13:$A$200,0)),""))</f>
        <v/>
      </c>
      <c r="N172" s="5">
        <f>IF(H172="","",IFERROR(INDEX(Szabályok!$G$13:$G$200,MATCH(H172,Szabályok!$A$13:$A$200,0)),""))</f>
        <v/>
      </c>
      <c r="O172" s="5">
        <f>IF(H172="","",IFERROR(INDEX(Szabályok!$H$13:$H$200,MATCH(H172,Szabályok!$A$13:$A$200,0)),""))</f>
        <v/>
      </c>
      <c r="P172" s="5" t="n"/>
      <c r="Q172" s="6" t="n"/>
      <c r="R172" s="6" t="n"/>
      <c r="S172" s="6">
        <f>IF(COUNT(Q172:R172)=0,"",SUM(Q172:R172))</f>
        <v/>
      </c>
      <c r="T172" s="6" t="n"/>
      <c r="U172" s="5">
        <f>IF(T172="","",IF(L172&lt;&gt;"IGEN","IGEN",IF(S172&gt;=T172,"IGEN","NEM")))</f>
        <v/>
      </c>
      <c r="V172" s="5" t="n"/>
      <c r="W172" s="5" t="n"/>
      <c r="X172" s="5" t="n"/>
      <c r="Y172" s="5" t="n"/>
      <c r="Z172" s="5">
        <f>IF(X172="","",IF(COUNTIFS($X$5:$X$304,X172,$I$5:$I$304,"&lt;"&amp;I172)=0,I172,""))</f>
        <v/>
      </c>
      <c r="AA172" s="5">
        <f>IF(X172="","",IF(COUNTIFS($X$5:$X$304,X172,$I$5:$I$304,"&lt;"&amp;I172)&gt;0,"NEM",IF(COUNTIFS($X$5:$X$304,X172,$I$5:$I$304,I172)=1,"IGEN",IF(Y172=1,"IGEN","NEM"))))</f>
        <v/>
      </c>
      <c r="AB172" s="5">
        <f>IF(OR(I172="",J172=""),"",IF(OR(I172=0,V172="IGEN",W172="IGEN"),"X",IF(AND(K172&lt;&gt;"IGEN",L172="IGEN",U172="NEM"),"X",IF(AA172="IGEN",J172,"X"))))</f>
        <v/>
      </c>
      <c r="AC172" s="5">
        <f>IF(AB172="X",0,IF(D172="","",D172))</f>
        <v/>
      </c>
      <c r="AD172" s="5">
        <f>IF(AB172="X",IF(D172="","",D172),0)</f>
        <v/>
      </c>
      <c r="AE172" s="6" t="n"/>
      <c r="AF172" s="6">
        <f>IF(E172="","",SUMIFS($AI$5:AI172,$E$5:E172,E172)-AI172)</f>
        <v/>
      </c>
      <c r="AG172" s="6">
        <f>IF(AE172="","",MAX(0,AE172-AF172))</f>
        <v/>
      </c>
      <c r="AH172" s="6">
        <f>IF(S172="","",IF(OR(I172=0,V172="IGEN",W172="IGEN"),0,IF(AND(K172&lt;&gt;"IGEN",L172="IGEN",U172="NEM"),0,S172)))</f>
        <v/>
      </c>
      <c r="AI172" s="6">
        <f>IF(AH172="","",IF(M172="IGEN",MIN(AH172,AG172),AH172))</f>
        <v/>
      </c>
      <c r="AJ172" s="5" t="n"/>
    </row>
    <row r="173">
      <c r="A173" s="5" t="n"/>
      <c r="B173" s="5" t="n"/>
      <c r="C173" s="5" t="n"/>
      <c r="D173" s="5">
        <f>IF(AND(B173&lt;&gt;"",C173&lt;&gt;""),C173-B173+1,"")</f>
        <v/>
      </c>
      <c r="E173" s="5">
        <f>IF(B173&lt;&gt;"",YEAR(B173),"")</f>
        <v/>
      </c>
      <c r="F173" s="6" t="n"/>
      <c r="G173" s="6" t="n"/>
      <c r="H173" s="6" t="n"/>
      <c r="I173" s="5">
        <f>IF(H173="","",IFERROR(INDEX(Szabályok!$B$13:$B$200,MATCH(H173,Szabályok!$A$13:$A$200,0)),""))</f>
        <v/>
      </c>
      <c r="J173" s="5">
        <f>IF(H173="","",IFERROR(INDEX(Szabályok!$C$13:$C$200,MATCH(H173,Szabályok!$A$13:$A$200,0)),""))</f>
        <v/>
      </c>
      <c r="K173" s="5">
        <f>IF(H173="","",IFERROR(INDEX(Szabályok!$D$13:$D$200,MATCH(H173,Szabályok!$A$13:$A$200,0)),""))</f>
        <v/>
      </c>
      <c r="L173" s="5">
        <f>IF(H173="","",IFERROR(INDEX(Szabályok!$E$13:$E$200,MATCH(H173,Szabályok!$A$13:$A$200,0)),""))</f>
        <v/>
      </c>
      <c r="M173" s="5">
        <f>IF(H173="","",IFERROR(INDEX(Szabályok!$F$13:$F$200,MATCH(H173,Szabályok!$A$13:$A$200,0)),""))</f>
        <v/>
      </c>
      <c r="N173" s="5">
        <f>IF(H173="","",IFERROR(INDEX(Szabályok!$G$13:$G$200,MATCH(H173,Szabályok!$A$13:$A$200,0)),""))</f>
        <v/>
      </c>
      <c r="O173" s="5">
        <f>IF(H173="","",IFERROR(INDEX(Szabályok!$H$13:$H$200,MATCH(H173,Szabályok!$A$13:$A$200,0)),""))</f>
        <v/>
      </c>
      <c r="P173" s="5" t="n"/>
      <c r="Q173" s="6" t="n"/>
      <c r="R173" s="6" t="n"/>
      <c r="S173" s="6">
        <f>IF(COUNT(Q173:R173)=0,"",SUM(Q173:R173))</f>
        <v/>
      </c>
      <c r="T173" s="6" t="n"/>
      <c r="U173" s="5">
        <f>IF(T173="","",IF(L173&lt;&gt;"IGEN","IGEN",IF(S173&gt;=T173,"IGEN","NEM")))</f>
        <v/>
      </c>
      <c r="V173" s="5" t="n"/>
      <c r="W173" s="5" t="n"/>
      <c r="X173" s="5" t="n"/>
      <c r="Y173" s="5" t="n"/>
      <c r="Z173" s="5">
        <f>IF(X173="","",IF(COUNTIFS($X$5:$X$304,X173,$I$5:$I$304,"&lt;"&amp;I173)=0,I173,""))</f>
        <v/>
      </c>
      <c r="AA173" s="5">
        <f>IF(X173="","",IF(COUNTIFS($X$5:$X$304,X173,$I$5:$I$304,"&lt;"&amp;I173)&gt;0,"NEM",IF(COUNTIFS($X$5:$X$304,X173,$I$5:$I$304,I173)=1,"IGEN",IF(Y173=1,"IGEN","NEM"))))</f>
        <v/>
      </c>
      <c r="AB173" s="5">
        <f>IF(OR(I173="",J173=""),"",IF(OR(I173=0,V173="IGEN",W173="IGEN"),"X",IF(AND(K173&lt;&gt;"IGEN",L173="IGEN",U173="NEM"),"X",IF(AA173="IGEN",J173,"X"))))</f>
        <v/>
      </c>
      <c r="AC173" s="5">
        <f>IF(AB173="X",0,IF(D173="","",D173))</f>
        <v/>
      </c>
      <c r="AD173" s="5">
        <f>IF(AB173="X",IF(D173="","",D173),0)</f>
        <v/>
      </c>
      <c r="AE173" s="6" t="n"/>
      <c r="AF173" s="6">
        <f>IF(E173="","",SUMIFS($AI$5:AI173,$E$5:E173,E173)-AI173)</f>
        <v/>
      </c>
      <c r="AG173" s="6">
        <f>IF(AE173="","",MAX(0,AE173-AF173))</f>
        <v/>
      </c>
      <c r="AH173" s="6">
        <f>IF(S173="","",IF(OR(I173=0,V173="IGEN",W173="IGEN"),0,IF(AND(K173&lt;&gt;"IGEN",L173="IGEN",U173="NEM"),0,S173)))</f>
        <v/>
      </c>
      <c r="AI173" s="6">
        <f>IF(AH173="","",IF(M173="IGEN",MIN(AH173,AG173),AH173))</f>
        <v/>
      </c>
      <c r="AJ173" s="5" t="n"/>
    </row>
    <row r="174">
      <c r="A174" s="5" t="n"/>
      <c r="B174" s="5" t="n"/>
      <c r="C174" s="5" t="n"/>
      <c r="D174" s="5">
        <f>IF(AND(B174&lt;&gt;"",C174&lt;&gt;""),C174-B174+1,"")</f>
        <v/>
      </c>
      <c r="E174" s="5">
        <f>IF(B174&lt;&gt;"",YEAR(B174),"")</f>
        <v/>
      </c>
      <c r="F174" s="6" t="n"/>
      <c r="G174" s="6" t="n"/>
      <c r="H174" s="6" t="n"/>
      <c r="I174" s="5">
        <f>IF(H174="","",IFERROR(INDEX(Szabályok!$B$13:$B$200,MATCH(H174,Szabályok!$A$13:$A$200,0)),""))</f>
        <v/>
      </c>
      <c r="J174" s="5">
        <f>IF(H174="","",IFERROR(INDEX(Szabályok!$C$13:$C$200,MATCH(H174,Szabályok!$A$13:$A$200,0)),""))</f>
        <v/>
      </c>
      <c r="K174" s="5">
        <f>IF(H174="","",IFERROR(INDEX(Szabályok!$D$13:$D$200,MATCH(H174,Szabályok!$A$13:$A$200,0)),""))</f>
        <v/>
      </c>
      <c r="L174" s="5">
        <f>IF(H174="","",IFERROR(INDEX(Szabályok!$E$13:$E$200,MATCH(H174,Szabályok!$A$13:$A$200,0)),""))</f>
        <v/>
      </c>
      <c r="M174" s="5">
        <f>IF(H174="","",IFERROR(INDEX(Szabályok!$F$13:$F$200,MATCH(H174,Szabályok!$A$13:$A$200,0)),""))</f>
        <v/>
      </c>
      <c r="N174" s="5">
        <f>IF(H174="","",IFERROR(INDEX(Szabályok!$G$13:$G$200,MATCH(H174,Szabályok!$A$13:$A$200,0)),""))</f>
        <v/>
      </c>
      <c r="O174" s="5">
        <f>IF(H174="","",IFERROR(INDEX(Szabályok!$H$13:$H$200,MATCH(H174,Szabályok!$A$13:$A$200,0)),""))</f>
        <v/>
      </c>
      <c r="P174" s="5" t="n"/>
      <c r="Q174" s="6" t="n"/>
      <c r="R174" s="6" t="n"/>
      <c r="S174" s="6">
        <f>IF(COUNT(Q174:R174)=0,"",SUM(Q174:R174))</f>
        <v/>
      </c>
      <c r="T174" s="6" t="n"/>
      <c r="U174" s="5">
        <f>IF(T174="","",IF(L174&lt;&gt;"IGEN","IGEN",IF(S174&gt;=T174,"IGEN","NEM")))</f>
        <v/>
      </c>
      <c r="V174" s="5" t="n"/>
      <c r="W174" s="5" t="n"/>
      <c r="X174" s="5" t="n"/>
      <c r="Y174" s="5" t="n"/>
      <c r="Z174" s="5">
        <f>IF(X174="","",IF(COUNTIFS($X$5:$X$304,X174,$I$5:$I$304,"&lt;"&amp;I174)=0,I174,""))</f>
        <v/>
      </c>
      <c r="AA174" s="5">
        <f>IF(X174="","",IF(COUNTIFS($X$5:$X$304,X174,$I$5:$I$304,"&lt;"&amp;I174)&gt;0,"NEM",IF(COUNTIFS($X$5:$X$304,X174,$I$5:$I$304,I174)=1,"IGEN",IF(Y174=1,"IGEN","NEM"))))</f>
        <v/>
      </c>
      <c r="AB174" s="5">
        <f>IF(OR(I174="",J174=""),"",IF(OR(I174=0,V174="IGEN",W174="IGEN"),"X",IF(AND(K174&lt;&gt;"IGEN",L174="IGEN",U174="NEM"),"X",IF(AA174="IGEN",J174,"X"))))</f>
        <v/>
      </c>
      <c r="AC174" s="5">
        <f>IF(AB174="X",0,IF(D174="","",D174))</f>
        <v/>
      </c>
      <c r="AD174" s="5">
        <f>IF(AB174="X",IF(D174="","",D174),0)</f>
        <v/>
      </c>
      <c r="AE174" s="6" t="n"/>
      <c r="AF174" s="6">
        <f>IF(E174="","",SUMIFS($AI$5:AI174,$E$5:E174,E174)-AI174)</f>
        <v/>
      </c>
      <c r="AG174" s="6">
        <f>IF(AE174="","",MAX(0,AE174-AF174))</f>
        <v/>
      </c>
      <c r="AH174" s="6">
        <f>IF(S174="","",IF(OR(I174=0,V174="IGEN",W174="IGEN"),0,IF(AND(K174&lt;&gt;"IGEN",L174="IGEN",U174="NEM"),0,S174)))</f>
        <v/>
      </c>
      <c r="AI174" s="6">
        <f>IF(AH174="","",IF(M174="IGEN",MIN(AH174,AG174),AH174))</f>
        <v/>
      </c>
      <c r="AJ174" s="5" t="n"/>
    </row>
    <row r="175">
      <c r="A175" s="5" t="n"/>
      <c r="B175" s="5" t="n"/>
      <c r="C175" s="5" t="n"/>
      <c r="D175" s="5">
        <f>IF(AND(B175&lt;&gt;"",C175&lt;&gt;""),C175-B175+1,"")</f>
        <v/>
      </c>
      <c r="E175" s="5">
        <f>IF(B175&lt;&gt;"",YEAR(B175),"")</f>
        <v/>
      </c>
      <c r="F175" s="6" t="n"/>
      <c r="G175" s="6" t="n"/>
      <c r="H175" s="6" t="n"/>
      <c r="I175" s="5">
        <f>IF(H175="","",IFERROR(INDEX(Szabályok!$B$13:$B$200,MATCH(H175,Szabályok!$A$13:$A$200,0)),""))</f>
        <v/>
      </c>
      <c r="J175" s="5">
        <f>IF(H175="","",IFERROR(INDEX(Szabályok!$C$13:$C$200,MATCH(H175,Szabályok!$A$13:$A$200,0)),""))</f>
        <v/>
      </c>
      <c r="K175" s="5">
        <f>IF(H175="","",IFERROR(INDEX(Szabályok!$D$13:$D$200,MATCH(H175,Szabályok!$A$13:$A$200,0)),""))</f>
        <v/>
      </c>
      <c r="L175" s="5">
        <f>IF(H175="","",IFERROR(INDEX(Szabályok!$E$13:$E$200,MATCH(H175,Szabályok!$A$13:$A$200,0)),""))</f>
        <v/>
      </c>
      <c r="M175" s="5">
        <f>IF(H175="","",IFERROR(INDEX(Szabályok!$F$13:$F$200,MATCH(H175,Szabályok!$A$13:$A$200,0)),""))</f>
        <v/>
      </c>
      <c r="N175" s="5">
        <f>IF(H175="","",IFERROR(INDEX(Szabályok!$G$13:$G$200,MATCH(H175,Szabályok!$A$13:$A$200,0)),""))</f>
        <v/>
      </c>
      <c r="O175" s="5">
        <f>IF(H175="","",IFERROR(INDEX(Szabályok!$H$13:$H$200,MATCH(H175,Szabályok!$A$13:$A$200,0)),""))</f>
        <v/>
      </c>
      <c r="P175" s="5" t="n"/>
      <c r="Q175" s="6" t="n"/>
      <c r="R175" s="6" t="n"/>
      <c r="S175" s="6">
        <f>IF(COUNT(Q175:R175)=0,"",SUM(Q175:R175))</f>
        <v/>
      </c>
      <c r="T175" s="6" t="n"/>
      <c r="U175" s="5">
        <f>IF(T175="","",IF(L175&lt;&gt;"IGEN","IGEN",IF(S175&gt;=T175,"IGEN","NEM")))</f>
        <v/>
      </c>
      <c r="V175" s="5" t="n"/>
      <c r="W175" s="5" t="n"/>
      <c r="X175" s="5" t="n"/>
      <c r="Y175" s="5" t="n"/>
      <c r="Z175" s="5">
        <f>IF(X175="","",IF(COUNTIFS($X$5:$X$304,X175,$I$5:$I$304,"&lt;"&amp;I175)=0,I175,""))</f>
        <v/>
      </c>
      <c r="AA175" s="5">
        <f>IF(X175="","",IF(COUNTIFS($X$5:$X$304,X175,$I$5:$I$304,"&lt;"&amp;I175)&gt;0,"NEM",IF(COUNTIFS($X$5:$X$304,X175,$I$5:$I$304,I175)=1,"IGEN",IF(Y175=1,"IGEN","NEM"))))</f>
        <v/>
      </c>
      <c r="AB175" s="5">
        <f>IF(OR(I175="",J175=""),"",IF(OR(I175=0,V175="IGEN",W175="IGEN"),"X",IF(AND(K175&lt;&gt;"IGEN",L175="IGEN",U175="NEM"),"X",IF(AA175="IGEN",J175,"X"))))</f>
        <v/>
      </c>
      <c r="AC175" s="5">
        <f>IF(AB175="X",0,IF(D175="","",D175))</f>
        <v/>
      </c>
      <c r="AD175" s="5">
        <f>IF(AB175="X",IF(D175="","",D175),0)</f>
        <v/>
      </c>
      <c r="AE175" s="6" t="n"/>
      <c r="AF175" s="6">
        <f>IF(E175="","",SUMIFS($AI$5:AI175,$E$5:E175,E175)-AI175)</f>
        <v/>
      </c>
      <c r="AG175" s="6">
        <f>IF(AE175="","",MAX(0,AE175-AF175))</f>
        <v/>
      </c>
      <c r="AH175" s="6">
        <f>IF(S175="","",IF(OR(I175=0,V175="IGEN",W175="IGEN"),0,IF(AND(K175&lt;&gt;"IGEN",L175="IGEN",U175="NEM"),0,S175)))</f>
        <v/>
      </c>
      <c r="AI175" s="6">
        <f>IF(AH175="","",IF(M175="IGEN",MIN(AH175,AG175),AH175))</f>
        <v/>
      </c>
      <c r="AJ175" s="5" t="n"/>
    </row>
    <row r="176">
      <c r="A176" s="5" t="n"/>
      <c r="B176" s="5" t="n"/>
      <c r="C176" s="5" t="n"/>
      <c r="D176" s="5">
        <f>IF(AND(B176&lt;&gt;"",C176&lt;&gt;""),C176-B176+1,"")</f>
        <v/>
      </c>
      <c r="E176" s="5">
        <f>IF(B176&lt;&gt;"",YEAR(B176),"")</f>
        <v/>
      </c>
      <c r="F176" s="6" t="n"/>
      <c r="G176" s="6" t="n"/>
      <c r="H176" s="6" t="n"/>
      <c r="I176" s="5">
        <f>IF(H176="","",IFERROR(INDEX(Szabályok!$B$13:$B$200,MATCH(H176,Szabályok!$A$13:$A$200,0)),""))</f>
        <v/>
      </c>
      <c r="J176" s="5">
        <f>IF(H176="","",IFERROR(INDEX(Szabályok!$C$13:$C$200,MATCH(H176,Szabályok!$A$13:$A$200,0)),""))</f>
        <v/>
      </c>
      <c r="K176" s="5">
        <f>IF(H176="","",IFERROR(INDEX(Szabályok!$D$13:$D$200,MATCH(H176,Szabályok!$A$13:$A$200,0)),""))</f>
        <v/>
      </c>
      <c r="L176" s="5">
        <f>IF(H176="","",IFERROR(INDEX(Szabályok!$E$13:$E$200,MATCH(H176,Szabályok!$A$13:$A$200,0)),""))</f>
        <v/>
      </c>
      <c r="M176" s="5">
        <f>IF(H176="","",IFERROR(INDEX(Szabályok!$F$13:$F$200,MATCH(H176,Szabályok!$A$13:$A$200,0)),""))</f>
        <v/>
      </c>
      <c r="N176" s="5">
        <f>IF(H176="","",IFERROR(INDEX(Szabályok!$G$13:$G$200,MATCH(H176,Szabályok!$A$13:$A$200,0)),""))</f>
        <v/>
      </c>
      <c r="O176" s="5">
        <f>IF(H176="","",IFERROR(INDEX(Szabályok!$H$13:$H$200,MATCH(H176,Szabályok!$A$13:$A$200,0)),""))</f>
        <v/>
      </c>
      <c r="P176" s="5" t="n"/>
      <c r="Q176" s="6" t="n"/>
      <c r="R176" s="6" t="n"/>
      <c r="S176" s="6">
        <f>IF(COUNT(Q176:R176)=0,"",SUM(Q176:R176))</f>
        <v/>
      </c>
      <c r="T176" s="6" t="n"/>
      <c r="U176" s="5">
        <f>IF(T176="","",IF(L176&lt;&gt;"IGEN","IGEN",IF(S176&gt;=T176,"IGEN","NEM")))</f>
        <v/>
      </c>
      <c r="V176" s="5" t="n"/>
      <c r="W176" s="5" t="n"/>
      <c r="X176" s="5" t="n"/>
      <c r="Y176" s="5" t="n"/>
      <c r="Z176" s="5">
        <f>IF(X176="","",IF(COUNTIFS($X$5:$X$304,X176,$I$5:$I$304,"&lt;"&amp;I176)=0,I176,""))</f>
        <v/>
      </c>
      <c r="AA176" s="5">
        <f>IF(X176="","",IF(COUNTIFS($X$5:$X$304,X176,$I$5:$I$304,"&lt;"&amp;I176)&gt;0,"NEM",IF(COUNTIFS($X$5:$X$304,X176,$I$5:$I$304,I176)=1,"IGEN",IF(Y176=1,"IGEN","NEM"))))</f>
        <v/>
      </c>
      <c r="AB176" s="5">
        <f>IF(OR(I176="",J176=""),"",IF(OR(I176=0,V176="IGEN",W176="IGEN"),"X",IF(AND(K176&lt;&gt;"IGEN",L176="IGEN",U176="NEM"),"X",IF(AA176="IGEN",J176,"X"))))</f>
        <v/>
      </c>
      <c r="AC176" s="5">
        <f>IF(AB176="X",0,IF(D176="","",D176))</f>
        <v/>
      </c>
      <c r="AD176" s="5">
        <f>IF(AB176="X",IF(D176="","",D176),0)</f>
        <v/>
      </c>
      <c r="AE176" s="6" t="n"/>
      <c r="AF176" s="6">
        <f>IF(E176="","",SUMIFS($AI$5:AI176,$E$5:E176,E176)-AI176)</f>
        <v/>
      </c>
      <c r="AG176" s="6">
        <f>IF(AE176="","",MAX(0,AE176-AF176))</f>
        <v/>
      </c>
      <c r="AH176" s="6">
        <f>IF(S176="","",IF(OR(I176=0,V176="IGEN",W176="IGEN"),0,IF(AND(K176&lt;&gt;"IGEN",L176="IGEN",U176="NEM"),0,S176)))</f>
        <v/>
      </c>
      <c r="AI176" s="6">
        <f>IF(AH176="","",IF(M176="IGEN",MIN(AH176,AG176),AH176))</f>
        <v/>
      </c>
      <c r="AJ176" s="5" t="n"/>
    </row>
    <row r="177">
      <c r="A177" s="5" t="n"/>
      <c r="B177" s="5" t="n"/>
      <c r="C177" s="5" t="n"/>
      <c r="D177" s="5">
        <f>IF(AND(B177&lt;&gt;"",C177&lt;&gt;""),C177-B177+1,"")</f>
        <v/>
      </c>
      <c r="E177" s="5">
        <f>IF(B177&lt;&gt;"",YEAR(B177),"")</f>
        <v/>
      </c>
      <c r="F177" s="6" t="n"/>
      <c r="G177" s="6" t="n"/>
      <c r="H177" s="6" t="n"/>
      <c r="I177" s="5">
        <f>IF(H177="","",IFERROR(INDEX(Szabályok!$B$13:$B$200,MATCH(H177,Szabályok!$A$13:$A$200,0)),""))</f>
        <v/>
      </c>
      <c r="J177" s="5">
        <f>IF(H177="","",IFERROR(INDEX(Szabályok!$C$13:$C$200,MATCH(H177,Szabályok!$A$13:$A$200,0)),""))</f>
        <v/>
      </c>
      <c r="K177" s="5">
        <f>IF(H177="","",IFERROR(INDEX(Szabályok!$D$13:$D$200,MATCH(H177,Szabályok!$A$13:$A$200,0)),""))</f>
        <v/>
      </c>
      <c r="L177" s="5">
        <f>IF(H177="","",IFERROR(INDEX(Szabályok!$E$13:$E$200,MATCH(H177,Szabályok!$A$13:$A$200,0)),""))</f>
        <v/>
      </c>
      <c r="M177" s="5">
        <f>IF(H177="","",IFERROR(INDEX(Szabályok!$F$13:$F$200,MATCH(H177,Szabályok!$A$13:$A$200,0)),""))</f>
        <v/>
      </c>
      <c r="N177" s="5">
        <f>IF(H177="","",IFERROR(INDEX(Szabályok!$G$13:$G$200,MATCH(H177,Szabályok!$A$13:$A$200,0)),""))</f>
        <v/>
      </c>
      <c r="O177" s="5">
        <f>IF(H177="","",IFERROR(INDEX(Szabályok!$H$13:$H$200,MATCH(H177,Szabályok!$A$13:$A$200,0)),""))</f>
        <v/>
      </c>
      <c r="P177" s="5" t="n"/>
      <c r="Q177" s="6" t="n"/>
      <c r="R177" s="6" t="n"/>
      <c r="S177" s="6">
        <f>IF(COUNT(Q177:R177)=0,"",SUM(Q177:R177))</f>
        <v/>
      </c>
      <c r="T177" s="6" t="n"/>
      <c r="U177" s="5">
        <f>IF(T177="","",IF(L177&lt;&gt;"IGEN","IGEN",IF(S177&gt;=T177,"IGEN","NEM")))</f>
        <v/>
      </c>
      <c r="V177" s="5" t="n"/>
      <c r="W177" s="5" t="n"/>
      <c r="X177" s="5" t="n"/>
      <c r="Y177" s="5" t="n"/>
      <c r="Z177" s="5">
        <f>IF(X177="","",IF(COUNTIFS($X$5:$X$304,X177,$I$5:$I$304,"&lt;"&amp;I177)=0,I177,""))</f>
        <v/>
      </c>
      <c r="AA177" s="5">
        <f>IF(X177="","",IF(COUNTIFS($X$5:$X$304,X177,$I$5:$I$304,"&lt;"&amp;I177)&gt;0,"NEM",IF(COUNTIFS($X$5:$X$304,X177,$I$5:$I$304,I177)=1,"IGEN",IF(Y177=1,"IGEN","NEM"))))</f>
        <v/>
      </c>
      <c r="AB177" s="5">
        <f>IF(OR(I177="",J177=""),"",IF(OR(I177=0,V177="IGEN",W177="IGEN"),"X",IF(AND(K177&lt;&gt;"IGEN",L177="IGEN",U177="NEM"),"X",IF(AA177="IGEN",J177,"X"))))</f>
        <v/>
      </c>
      <c r="AC177" s="5">
        <f>IF(AB177="X",0,IF(D177="","",D177))</f>
        <v/>
      </c>
      <c r="AD177" s="5">
        <f>IF(AB177="X",IF(D177="","",D177),0)</f>
        <v/>
      </c>
      <c r="AE177" s="6" t="n"/>
      <c r="AF177" s="6">
        <f>IF(E177="","",SUMIFS($AI$5:AI177,$E$5:E177,E177)-AI177)</f>
        <v/>
      </c>
      <c r="AG177" s="6">
        <f>IF(AE177="","",MAX(0,AE177-AF177))</f>
        <v/>
      </c>
      <c r="AH177" s="6">
        <f>IF(S177="","",IF(OR(I177=0,V177="IGEN",W177="IGEN"),0,IF(AND(K177&lt;&gt;"IGEN",L177="IGEN",U177="NEM"),0,S177)))</f>
        <v/>
      </c>
      <c r="AI177" s="6">
        <f>IF(AH177="","",IF(M177="IGEN",MIN(AH177,AG177),AH177))</f>
        <v/>
      </c>
      <c r="AJ177" s="5" t="n"/>
    </row>
    <row r="178">
      <c r="A178" s="5" t="n"/>
      <c r="B178" s="5" t="n"/>
      <c r="C178" s="5" t="n"/>
      <c r="D178" s="5">
        <f>IF(AND(B178&lt;&gt;"",C178&lt;&gt;""),C178-B178+1,"")</f>
        <v/>
      </c>
      <c r="E178" s="5">
        <f>IF(B178&lt;&gt;"",YEAR(B178),"")</f>
        <v/>
      </c>
      <c r="F178" s="6" t="n"/>
      <c r="G178" s="6" t="n"/>
      <c r="H178" s="6" t="n"/>
      <c r="I178" s="5">
        <f>IF(H178="","",IFERROR(INDEX(Szabályok!$B$13:$B$200,MATCH(H178,Szabályok!$A$13:$A$200,0)),""))</f>
        <v/>
      </c>
      <c r="J178" s="5">
        <f>IF(H178="","",IFERROR(INDEX(Szabályok!$C$13:$C$200,MATCH(H178,Szabályok!$A$13:$A$200,0)),""))</f>
        <v/>
      </c>
      <c r="K178" s="5">
        <f>IF(H178="","",IFERROR(INDEX(Szabályok!$D$13:$D$200,MATCH(H178,Szabályok!$A$13:$A$200,0)),""))</f>
        <v/>
      </c>
      <c r="L178" s="5">
        <f>IF(H178="","",IFERROR(INDEX(Szabályok!$E$13:$E$200,MATCH(H178,Szabályok!$A$13:$A$200,0)),""))</f>
        <v/>
      </c>
      <c r="M178" s="5">
        <f>IF(H178="","",IFERROR(INDEX(Szabályok!$F$13:$F$200,MATCH(H178,Szabályok!$A$13:$A$200,0)),""))</f>
        <v/>
      </c>
      <c r="N178" s="5">
        <f>IF(H178="","",IFERROR(INDEX(Szabályok!$G$13:$G$200,MATCH(H178,Szabályok!$A$13:$A$200,0)),""))</f>
        <v/>
      </c>
      <c r="O178" s="5">
        <f>IF(H178="","",IFERROR(INDEX(Szabályok!$H$13:$H$200,MATCH(H178,Szabályok!$A$13:$A$200,0)),""))</f>
        <v/>
      </c>
      <c r="P178" s="5" t="n"/>
      <c r="Q178" s="6" t="n"/>
      <c r="R178" s="6" t="n"/>
      <c r="S178" s="6">
        <f>IF(COUNT(Q178:R178)=0,"",SUM(Q178:R178))</f>
        <v/>
      </c>
      <c r="T178" s="6" t="n"/>
      <c r="U178" s="5">
        <f>IF(T178="","",IF(L178&lt;&gt;"IGEN","IGEN",IF(S178&gt;=T178,"IGEN","NEM")))</f>
        <v/>
      </c>
      <c r="V178" s="5" t="n"/>
      <c r="W178" s="5" t="n"/>
      <c r="X178" s="5" t="n"/>
      <c r="Y178" s="5" t="n"/>
      <c r="Z178" s="5">
        <f>IF(X178="","",IF(COUNTIFS($X$5:$X$304,X178,$I$5:$I$304,"&lt;"&amp;I178)=0,I178,""))</f>
        <v/>
      </c>
      <c r="AA178" s="5">
        <f>IF(X178="","",IF(COUNTIFS($X$5:$X$304,X178,$I$5:$I$304,"&lt;"&amp;I178)&gt;0,"NEM",IF(COUNTIFS($X$5:$X$304,X178,$I$5:$I$304,I178)=1,"IGEN",IF(Y178=1,"IGEN","NEM"))))</f>
        <v/>
      </c>
      <c r="AB178" s="5">
        <f>IF(OR(I178="",J178=""),"",IF(OR(I178=0,V178="IGEN",W178="IGEN"),"X",IF(AND(K178&lt;&gt;"IGEN",L178="IGEN",U178="NEM"),"X",IF(AA178="IGEN",J178,"X"))))</f>
        <v/>
      </c>
      <c r="AC178" s="5">
        <f>IF(AB178="X",0,IF(D178="","",D178))</f>
        <v/>
      </c>
      <c r="AD178" s="5">
        <f>IF(AB178="X",IF(D178="","",D178),0)</f>
        <v/>
      </c>
      <c r="AE178" s="6" t="n"/>
      <c r="AF178" s="6">
        <f>IF(E178="","",SUMIFS($AI$5:AI178,$E$5:E178,E178)-AI178)</f>
        <v/>
      </c>
      <c r="AG178" s="6">
        <f>IF(AE178="","",MAX(0,AE178-AF178))</f>
        <v/>
      </c>
      <c r="AH178" s="6">
        <f>IF(S178="","",IF(OR(I178=0,V178="IGEN",W178="IGEN"),0,IF(AND(K178&lt;&gt;"IGEN",L178="IGEN",U178="NEM"),0,S178)))</f>
        <v/>
      </c>
      <c r="AI178" s="6">
        <f>IF(AH178="","",IF(M178="IGEN",MIN(AH178,AG178),AH178))</f>
        <v/>
      </c>
      <c r="AJ178" s="5" t="n"/>
    </row>
    <row r="179">
      <c r="A179" s="5" t="n"/>
      <c r="B179" s="5" t="n"/>
      <c r="C179" s="5" t="n"/>
      <c r="D179" s="5">
        <f>IF(AND(B179&lt;&gt;"",C179&lt;&gt;""),C179-B179+1,"")</f>
        <v/>
      </c>
      <c r="E179" s="5">
        <f>IF(B179&lt;&gt;"",YEAR(B179),"")</f>
        <v/>
      </c>
      <c r="F179" s="6" t="n"/>
      <c r="G179" s="6" t="n"/>
      <c r="H179" s="6" t="n"/>
      <c r="I179" s="5">
        <f>IF(H179="","",IFERROR(INDEX(Szabályok!$B$13:$B$200,MATCH(H179,Szabályok!$A$13:$A$200,0)),""))</f>
        <v/>
      </c>
      <c r="J179" s="5">
        <f>IF(H179="","",IFERROR(INDEX(Szabályok!$C$13:$C$200,MATCH(H179,Szabályok!$A$13:$A$200,0)),""))</f>
        <v/>
      </c>
      <c r="K179" s="5">
        <f>IF(H179="","",IFERROR(INDEX(Szabályok!$D$13:$D$200,MATCH(H179,Szabályok!$A$13:$A$200,0)),""))</f>
        <v/>
      </c>
      <c r="L179" s="5">
        <f>IF(H179="","",IFERROR(INDEX(Szabályok!$E$13:$E$200,MATCH(H179,Szabályok!$A$13:$A$200,0)),""))</f>
        <v/>
      </c>
      <c r="M179" s="5">
        <f>IF(H179="","",IFERROR(INDEX(Szabályok!$F$13:$F$200,MATCH(H179,Szabályok!$A$13:$A$200,0)),""))</f>
        <v/>
      </c>
      <c r="N179" s="5">
        <f>IF(H179="","",IFERROR(INDEX(Szabályok!$G$13:$G$200,MATCH(H179,Szabályok!$A$13:$A$200,0)),""))</f>
        <v/>
      </c>
      <c r="O179" s="5">
        <f>IF(H179="","",IFERROR(INDEX(Szabályok!$H$13:$H$200,MATCH(H179,Szabályok!$A$13:$A$200,0)),""))</f>
        <v/>
      </c>
      <c r="P179" s="5" t="n"/>
      <c r="Q179" s="6" t="n"/>
      <c r="R179" s="6" t="n"/>
      <c r="S179" s="6">
        <f>IF(COUNT(Q179:R179)=0,"",SUM(Q179:R179))</f>
        <v/>
      </c>
      <c r="T179" s="6" t="n"/>
      <c r="U179" s="5">
        <f>IF(T179="","",IF(L179&lt;&gt;"IGEN","IGEN",IF(S179&gt;=T179,"IGEN","NEM")))</f>
        <v/>
      </c>
      <c r="V179" s="5" t="n"/>
      <c r="W179" s="5" t="n"/>
      <c r="X179" s="5" t="n"/>
      <c r="Y179" s="5" t="n"/>
      <c r="Z179" s="5">
        <f>IF(X179="","",IF(COUNTIFS($X$5:$X$304,X179,$I$5:$I$304,"&lt;"&amp;I179)=0,I179,""))</f>
        <v/>
      </c>
      <c r="AA179" s="5">
        <f>IF(X179="","",IF(COUNTIFS($X$5:$X$304,X179,$I$5:$I$304,"&lt;"&amp;I179)&gt;0,"NEM",IF(COUNTIFS($X$5:$X$304,X179,$I$5:$I$304,I179)=1,"IGEN",IF(Y179=1,"IGEN","NEM"))))</f>
        <v/>
      </c>
      <c r="AB179" s="5">
        <f>IF(OR(I179="",J179=""),"",IF(OR(I179=0,V179="IGEN",W179="IGEN"),"X",IF(AND(K179&lt;&gt;"IGEN",L179="IGEN",U179="NEM"),"X",IF(AA179="IGEN",J179,"X"))))</f>
        <v/>
      </c>
      <c r="AC179" s="5">
        <f>IF(AB179="X",0,IF(D179="","",D179))</f>
        <v/>
      </c>
      <c r="AD179" s="5">
        <f>IF(AB179="X",IF(D179="","",D179),0)</f>
        <v/>
      </c>
      <c r="AE179" s="6" t="n"/>
      <c r="AF179" s="6">
        <f>IF(E179="","",SUMIFS($AI$5:AI179,$E$5:E179,E179)-AI179)</f>
        <v/>
      </c>
      <c r="AG179" s="6">
        <f>IF(AE179="","",MAX(0,AE179-AF179))</f>
        <v/>
      </c>
      <c r="AH179" s="6">
        <f>IF(S179="","",IF(OR(I179=0,V179="IGEN",W179="IGEN"),0,IF(AND(K179&lt;&gt;"IGEN",L179="IGEN",U179="NEM"),0,S179)))</f>
        <v/>
      </c>
      <c r="AI179" s="6">
        <f>IF(AH179="","",IF(M179="IGEN",MIN(AH179,AG179),AH179))</f>
        <v/>
      </c>
      <c r="AJ179" s="5" t="n"/>
    </row>
    <row r="180">
      <c r="A180" s="5" t="n"/>
      <c r="B180" s="5" t="n"/>
      <c r="C180" s="5" t="n"/>
      <c r="D180" s="5">
        <f>IF(AND(B180&lt;&gt;"",C180&lt;&gt;""),C180-B180+1,"")</f>
        <v/>
      </c>
      <c r="E180" s="5">
        <f>IF(B180&lt;&gt;"",YEAR(B180),"")</f>
        <v/>
      </c>
      <c r="F180" s="6" t="n"/>
      <c r="G180" s="6" t="n"/>
      <c r="H180" s="6" t="n"/>
      <c r="I180" s="5">
        <f>IF(H180="","",IFERROR(INDEX(Szabályok!$B$13:$B$200,MATCH(H180,Szabályok!$A$13:$A$200,0)),""))</f>
        <v/>
      </c>
      <c r="J180" s="5">
        <f>IF(H180="","",IFERROR(INDEX(Szabályok!$C$13:$C$200,MATCH(H180,Szabályok!$A$13:$A$200,0)),""))</f>
        <v/>
      </c>
      <c r="K180" s="5">
        <f>IF(H180="","",IFERROR(INDEX(Szabályok!$D$13:$D$200,MATCH(H180,Szabályok!$A$13:$A$200,0)),""))</f>
        <v/>
      </c>
      <c r="L180" s="5">
        <f>IF(H180="","",IFERROR(INDEX(Szabályok!$E$13:$E$200,MATCH(H180,Szabályok!$A$13:$A$200,0)),""))</f>
        <v/>
      </c>
      <c r="M180" s="5">
        <f>IF(H180="","",IFERROR(INDEX(Szabályok!$F$13:$F$200,MATCH(H180,Szabályok!$A$13:$A$200,0)),""))</f>
        <v/>
      </c>
      <c r="N180" s="5">
        <f>IF(H180="","",IFERROR(INDEX(Szabályok!$G$13:$G$200,MATCH(H180,Szabályok!$A$13:$A$200,0)),""))</f>
        <v/>
      </c>
      <c r="O180" s="5">
        <f>IF(H180="","",IFERROR(INDEX(Szabályok!$H$13:$H$200,MATCH(H180,Szabályok!$A$13:$A$200,0)),""))</f>
        <v/>
      </c>
      <c r="P180" s="5" t="n"/>
      <c r="Q180" s="6" t="n"/>
      <c r="R180" s="6" t="n"/>
      <c r="S180" s="6">
        <f>IF(COUNT(Q180:R180)=0,"",SUM(Q180:R180))</f>
        <v/>
      </c>
      <c r="T180" s="6" t="n"/>
      <c r="U180" s="5">
        <f>IF(T180="","",IF(L180&lt;&gt;"IGEN","IGEN",IF(S180&gt;=T180,"IGEN","NEM")))</f>
        <v/>
      </c>
      <c r="V180" s="5" t="n"/>
      <c r="W180" s="5" t="n"/>
      <c r="X180" s="5" t="n"/>
      <c r="Y180" s="5" t="n"/>
      <c r="Z180" s="5">
        <f>IF(X180="","",IF(COUNTIFS($X$5:$X$304,X180,$I$5:$I$304,"&lt;"&amp;I180)=0,I180,""))</f>
        <v/>
      </c>
      <c r="AA180" s="5">
        <f>IF(X180="","",IF(COUNTIFS($X$5:$X$304,X180,$I$5:$I$304,"&lt;"&amp;I180)&gt;0,"NEM",IF(COUNTIFS($X$5:$X$304,X180,$I$5:$I$304,I180)=1,"IGEN",IF(Y180=1,"IGEN","NEM"))))</f>
        <v/>
      </c>
      <c r="AB180" s="5">
        <f>IF(OR(I180="",J180=""),"",IF(OR(I180=0,V180="IGEN",W180="IGEN"),"X",IF(AND(K180&lt;&gt;"IGEN",L180="IGEN",U180="NEM"),"X",IF(AA180="IGEN",J180,"X"))))</f>
        <v/>
      </c>
      <c r="AC180" s="5">
        <f>IF(AB180="X",0,IF(D180="","",D180))</f>
        <v/>
      </c>
      <c r="AD180" s="5">
        <f>IF(AB180="X",IF(D180="","",D180),0)</f>
        <v/>
      </c>
      <c r="AE180" s="6" t="n"/>
      <c r="AF180" s="6">
        <f>IF(E180="","",SUMIFS($AI$5:AI180,$E$5:E180,E180)-AI180)</f>
        <v/>
      </c>
      <c r="AG180" s="6">
        <f>IF(AE180="","",MAX(0,AE180-AF180))</f>
        <v/>
      </c>
      <c r="AH180" s="6">
        <f>IF(S180="","",IF(OR(I180=0,V180="IGEN",W180="IGEN"),0,IF(AND(K180&lt;&gt;"IGEN",L180="IGEN",U180="NEM"),0,S180)))</f>
        <v/>
      </c>
      <c r="AI180" s="6">
        <f>IF(AH180="","",IF(M180="IGEN",MIN(AH180,AG180),AH180))</f>
        <v/>
      </c>
      <c r="AJ180" s="5" t="n"/>
    </row>
    <row r="181">
      <c r="A181" s="5" t="n"/>
      <c r="B181" s="5" t="n"/>
      <c r="C181" s="5" t="n"/>
      <c r="D181" s="5">
        <f>IF(AND(B181&lt;&gt;"",C181&lt;&gt;""),C181-B181+1,"")</f>
        <v/>
      </c>
      <c r="E181" s="5">
        <f>IF(B181&lt;&gt;"",YEAR(B181),"")</f>
        <v/>
      </c>
      <c r="F181" s="6" t="n"/>
      <c r="G181" s="6" t="n"/>
      <c r="H181" s="6" t="n"/>
      <c r="I181" s="5">
        <f>IF(H181="","",IFERROR(INDEX(Szabályok!$B$13:$B$200,MATCH(H181,Szabályok!$A$13:$A$200,0)),""))</f>
        <v/>
      </c>
      <c r="J181" s="5">
        <f>IF(H181="","",IFERROR(INDEX(Szabályok!$C$13:$C$200,MATCH(H181,Szabályok!$A$13:$A$200,0)),""))</f>
        <v/>
      </c>
      <c r="K181" s="5">
        <f>IF(H181="","",IFERROR(INDEX(Szabályok!$D$13:$D$200,MATCH(H181,Szabályok!$A$13:$A$200,0)),""))</f>
        <v/>
      </c>
      <c r="L181" s="5">
        <f>IF(H181="","",IFERROR(INDEX(Szabályok!$E$13:$E$200,MATCH(H181,Szabályok!$A$13:$A$200,0)),""))</f>
        <v/>
      </c>
      <c r="M181" s="5">
        <f>IF(H181="","",IFERROR(INDEX(Szabályok!$F$13:$F$200,MATCH(H181,Szabályok!$A$13:$A$200,0)),""))</f>
        <v/>
      </c>
      <c r="N181" s="5">
        <f>IF(H181="","",IFERROR(INDEX(Szabályok!$G$13:$G$200,MATCH(H181,Szabályok!$A$13:$A$200,0)),""))</f>
        <v/>
      </c>
      <c r="O181" s="5">
        <f>IF(H181="","",IFERROR(INDEX(Szabályok!$H$13:$H$200,MATCH(H181,Szabályok!$A$13:$A$200,0)),""))</f>
        <v/>
      </c>
      <c r="P181" s="5" t="n"/>
      <c r="Q181" s="6" t="n"/>
      <c r="R181" s="6" t="n"/>
      <c r="S181" s="6">
        <f>IF(COUNT(Q181:R181)=0,"",SUM(Q181:R181))</f>
        <v/>
      </c>
      <c r="T181" s="6" t="n"/>
      <c r="U181" s="5">
        <f>IF(T181="","",IF(L181&lt;&gt;"IGEN","IGEN",IF(S181&gt;=T181,"IGEN","NEM")))</f>
        <v/>
      </c>
      <c r="V181" s="5" t="n"/>
      <c r="W181" s="5" t="n"/>
      <c r="X181" s="5" t="n"/>
      <c r="Y181" s="5" t="n"/>
      <c r="Z181" s="5">
        <f>IF(X181="","",IF(COUNTIFS($X$5:$X$304,X181,$I$5:$I$304,"&lt;"&amp;I181)=0,I181,""))</f>
        <v/>
      </c>
      <c r="AA181" s="5">
        <f>IF(X181="","",IF(COUNTIFS($X$5:$X$304,X181,$I$5:$I$304,"&lt;"&amp;I181)&gt;0,"NEM",IF(COUNTIFS($X$5:$X$304,X181,$I$5:$I$304,I181)=1,"IGEN",IF(Y181=1,"IGEN","NEM"))))</f>
        <v/>
      </c>
      <c r="AB181" s="5">
        <f>IF(OR(I181="",J181=""),"",IF(OR(I181=0,V181="IGEN",W181="IGEN"),"X",IF(AND(K181&lt;&gt;"IGEN",L181="IGEN",U181="NEM"),"X",IF(AA181="IGEN",J181,"X"))))</f>
        <v/>
      </c>
      <c r="AC181" s="5">
        <f>IF(AB181="X",0,IF(D181="","",D181))</f>
        <v/>
      </c>
      <c r="AD181" s="5">
        <f>IF(AB181="X",IF(D181="","",D181),0)</f>
        <v/>
      </c>
      <c r="AE181" s="6" t="n"/>
      <c r="AF181" s="6">
        <f>IF(E181="","",SUMIFS($AI$5:AI181,$E$5:E181,E181)-AI181)</f>
        <v/>
      </c>
      <c r="AG181" s="6">
        <f>IF(AE181="","",MAX(0,AE181-AF181))</f>
        <v/>
      </c>
      <c r="AH181" s="6">
        <f>IF(S181="","",IF(OR(I181=0,V181="IGEN",W181="IGEN"),0,IF(AND(K181&lt;&gt;"IGEN",L181="IGEN",U181="NEM"),0,S181)))</f>
        <v/>
      </c>
      <c r="AI181" s="6">
        <f>IF(AH181="","",IF(M181="IGEN",MIN(AH181,AG181),AH181))</f>
        <v/>
      </c>
      <c r="AJ181" s="5" t="n"/>
    </row>
    <row r="182">
      <c r="A182" s="5" t="n"/>
      <c r="B182" s="5" t="n"/>
      <c r="C182" s="5" t="n"/>
      <c r="D182" s="5">
        <f>IF(AND(B182&lt;&gt;"",C182&lt;&gt;""),C182-B182+1,"")</f>
        <v/>
      </c>
      <c r="E182" s="5">
        <f>IF(B182&lt;&gt;"",YEAR(B182),"")</f>
        <v/>
      </c>
      <c r="F182" s="6" t="n"/>
      <c r="G182" s="6" t="n"/>
      <c r="H182" s="6" t="n"/>
      <c r="I182" s="5">
        <f>IF(H182="","",IFERROR(INDEX(Szabályok!$B$13:$B$200,MATCH(H182,Szabályok!$A$13:$A$200,0)),""))</f>
        <v/>
      </c>
      <c r="J182" s="5">
        <f>IF(H182="","",IFERROR(INDEX(Szabályok!$C$13:$C$200,MATCH(H182,Szabályok!$A$13:$A$200,0)),""))</f>
        <v/>
      </c>
      <c r="K182" s="5">
        <f>IF(H182="","",IFERROR(INDEX(Szabályok!$D$13:$D$200,MATCH(H182,Szabályok!$A$13:$A$200,0)),""))</f>
        <v/>
      </c>
      <c r="L182" s="5">
        <f>IF(H182="","",IFERROR(INDEX(Szabályok!$E$13:$E$200,MATCH(H182,Szabályok!$A$13:$A$200,0)),""))</f>
        <v/>
      </c>
      <c r="M182" s="5">
        <f>IF(H182="","",IFERROR(INDEX(Szabályok!$F$13:$F$200,MATCH(H182,Szabályok!$A$13:$A$200,0)),""))</f>
        <v/>
      </c>
      <c r="N182" s="5">
        <f>IF(H182="","",IFERROR(INDEX(Szabályok!$G$13:$G$200,MATCH(H182,Szabályok!$A$13:$A$200,0)),""))</f>
        <v/>
      </c>
      <c r="O182" s="5">
        <f>IF(H182="","",IFERROR(INDEX(Szabályok!$H$13:$H$200,MATCH(H182,Szabályok!$A$13:$A$200,0)),""))</f>
        <v/>
      </c>
      <c r="P182" s="5" t="n"/>
      <c r="Q182" s="6" t="n"/>
      <c r="R182" s="6" t="n"/>
      <c r="S182" s="6">
        <f>IF(COUNT(Q182:R182)=0,"",SUM(Q182:R182))</f>
        <v/>
      </c>
      <c r="T182" s="6" t="n"/>
      <c r="U182" s="5">
        <f>IF(T182="","",IF(L182&lt;&gt;"IGEN","IGEN",IF(S182&gt;=T182,"IGEN","NEM")))</f>
        <v/>
      </c>
      <c r="V182" s="5" t="n"/>
      <c r="W182" s="5" t="n"/>
      <c r="X182" s="5" t="n"/>
      <c r="Y182" s="5" t="n"/>
      <c r="Z182" s="5">
        <f>IF(X182="","",IF(COUNTIFS($X$5:$X$304,X182,$I$5:$I$304,"&lt;"&amp;I182)=0,I182,""))</f>
        <v/>
      </c>
      <c r="AA182" s="5">
        <f>IF(X182="","",IF(COUNTIFS($X$5:$X$304,X182,$I$5:$I$304,"&lt;"&amp;I182)&gt;0,"NEM",IF(COUNTIFS($X$5:$X$304,X182,$I$5:$I$304,I182)=1,"IGEN",IF(Y182=1,"IGEN","NEM"))))</f>
        <v/>
      </c>
      <c r="AB182" s="5">
        <f>IF(OR(I182="",J182=""),"",IF(OR(I182=0,V182="IGEN",W182="IGEN"),"X",IF(AND(K182&lt;&gt;"IGEN",L182="IGEN",U182="NEM"),"X",IF(AA182="IGEN",J182,"X"))))</f>
        <v/>
      </c>
      <c r="AC182" s="5">
        <f>IF(AB182="X",0,IF(D182="","",D182))</f>
        <v/>
      </c>
      <c r="AD182" s="5">
        <f>IF(AB182="X",IF(D182="","",D182),0)</f>
        <v/>
      </c>
      <c r="AE182" s="6" t="n"/>
      <c r="AF182" s="6">
        <f>IF(E182="","",SUMIFS($AI$5:AI182,$E$5:E182,E182)-AI182)</f>
        <v/>
      </c>
      <c r="AG182" s="6">
        <f>IF(AE182="","",MAX(0,AE182-AF182))</f>
        <v/>
      </c>
      <c r="AH182" s="6">
        <f>IF(S182="","",IF(OR(I182=0,V182="IGEN",W182="IGEN"),0,IF(AND(K182&lt;&gt;"IGEN",L182="IGEN",U182="NEM"),0,S182)))</f>
        <v/>
      </c>
      <c r="AI182" s="6">
        <f>IF(AH182="","",IF(M182="IGEN",MIN(AH182,AG182),AH182))</f>
        <v/>
      </c>
      <c r="AJ182" s="5" t="n"/>
    </row>
    <row r="183">
      <c r="A183" s="5" t="n"/>
      <c r="B183" s="5" t="n"/>
      <c r="C183" s="5" t="n"/>
      <c r="D183" s="5">
        <f>IF(AND(B183&lt;&gt;"",C183&lt;&gt;""),C183-B183+1,"")</f>
        <v/>
      </c>
      <c r="E183" s="5">
        <f>IF(B183&lt;&gt;"",YEAR(B183),"")</f>
        <v/>
      </c>
      <c r="F183" s="6" t="n"/>
      <c r="G183" s="6" t="n"/>
      <c r="H183" s="6" t="n"/>
      <c r="I183" s="5">
        <f>IF(H183="","",IFERROR(INDEX(Szabályok!$B$13:$B$200,MATCH(H183,Szabályok!$A$13:$A$200,0)),""))</f>
        <v/>
      </c>
      <c r="J183" s="5">
        <f>IF(H183="","",IFERROR(INDEX(Szabályok!$C$13:$C$200,MATCH(H183,Szabályok!$A$13:$A$200,0)),""))</f>
        <v/>
      </c>
      <c r="K183" s="5">
        <f>IF(H183="","",IFERROR(INDEX(Szabályok!$D$13:$D$200,MATCH(H183,Szabályok!$A$13:$A$200,0)),""))</f>
        <v/>
      </c>
      <c r="L183" s="5">
        <f>IF(H183="","",IFERROR(INDEX(Szabályok!$E$13:$E$200,MATCH(H183,Szabályok!$A$13:$A$200,0)),""))</f>
        <v/>
      </c>
      <c r="M183" s="5">
        <f>IF(H183="","",IFERROR(INDEX(Szabályok!$F$13:$F$200,MATCH(H183,Szabályok!$A$13:$A$200,0)),""))</f>
        <v/>
      </c>
      <c r="N183" s="5">
        <f>IF(H183="","",IFERROR(INDEX(Szabályok!$G$13:$G$200,MATCH(H183,Szabályok!$A$13:$A$200,0)),""))</f>
        <v/>
      </c>
      <c r="O183" s="5">
        <f>IF(H183="","",IFERROR(INDEX(Szabályok!$H$13:$H$200,MATCH(H183,Szabályok!$A$13:$A$200,0)),""))</f>
        <v/>
      </c>
      <c r="P183" s="5" t="n"/>
      <c r="Q183" s="6" t="n"/>
      <c r="R183" s="6" t="n"/>
      <c r="S183" s="6">
        <f>IF(COUNT(Q183:R183)=0,"",SUM(Q183:R183))</f>
        <v/>
      </c>
      <c r="T183" s="6" t="n"/>
      <c r="U183" s="5">
        <f>IF(T183="","",IF(L183&lt;&gt;"IGEN","IGEN",IF(S183&gt;=T183,"IGEN","NEM")))</f>
        <v/>
      </c>
      <c r="V183" s="5" t="n"/>
      <c r="W183" s="5" t="n"/>
      <c r="X183" s="5" t="n"/>
      <c r="Y183" s="5" t="n"/>
      <c r="Z183" s="5">
        <f>IF(X183="","",IF(COUNTIFS($X$5:$X$304,X183,$I$5:$I$304,"&lt;"&amp;I183)=0,I183,""))</f>
        <v/>
      </c>
      <c r="AA183" s="5">
        <f>IF(X183="","",IF(COUNTIFS($X$5:$X$304,X183,$I$5:$I$304,"&lt;"&amp;I183)&gt;0,"NEM",IF(COUNTIFS($X$5:$X$304,X183,$I$5:$I$304,I183)=1,"IGEN",IF(Y183=1,"IGEN","NEM"))))</f>
        <v/>
      </c>
      <c r="AB183" s="5">
        <f>IF(OR(I183="",J183=""),"",IF(OR(I183=0,V183="IGEN",W183="IGEN"),"X",IF(AND(K183&lt;&gt;"IGEN",L183="IGEN",U183="NEM"),"X",IF(AA183="IGEN",J183,"X"))))</f>
        <v/>
      </c>
      <c r="AC183" s="5">
        <f>IF(AB183="X",0,IF(D183="","",D183))</f>
        <v/>
      </c>
      <c r="AD183" s="5">
        <f>IF(AB183="X",IF(D183="","",D183),0)</f>
        <v/>
      </c>
      <c r="AE183" s="6" t="n"/>
      <c r="AF183" s="6">
        <f>IF(E183="","",SUMIFS($AI$5:AI183,$E$5:E183,E183)-AI183)</f>
        <v/>
      </c>
      <c r="AG183" s="6">
        <f>IF(AE183="","",MAX(0,AE183-AF183))</f>
        <v/>
      </c>
      <c r="AH183" s="6">
        <f>IF(S183="","",IF(OR(I183=0,V183="IGEN",W183="IGEN"),0,IF(AND(K183&lt;&gt;"IGEN",L183="IGEN",U183="NEM"),0,S183)))</f>
        <v/>
      </c>
      <c r="AI183" s="6">
        <f>IF(AH183="","",IF(M183="IGEN",MIN(AH183,AG183),AH183))</f>
        <v/>
      </c>
      <c r="AJ183" s="5" t="n"/>
    </row>
    <row r="184">
      <c r="A184" s="5" t="n"/>
      <c r="B184" s="5" t="n"/>
      <c r="C184" s="5" t="n"/>
      <c r="D184" s="5">
        <f>IF(AND(B184&lt;&gt;"",C184&lt;&gt;""),C184-B184+1,"")</f>
        <v/>
      </c>
      <c r="E184" s="5">
        <f>IF(B184&lt;&gt;"",YEAR(B184),"")</f>
        <v/>
      </c>
      <c r="F184" s="6" t="n"/>
      <c r="G184" s="6" t="n"/>
      <c r="H184" s="6" t="n"/>
      <c r="I184" s="5">
        <f>IF(H184="","",IFERROR(INDEX(Szabályok!$B$13:$B$200,MATCH(H184,Szabályok!$A$13:$A$200,0)),""))</f>
        <v/>
      </c>
      <c r="J184" s="5">
        <f>IF(H184="","",IFERROR(INDEX(Szabályok!$C$13:$C$200,MATCH(H184,Szabályok!$A$13:$A$200,0)),""))</f>
        <v/>
      </c>
      <c r="K184" s="5">
        <f>IF(H184="","",IFERROR(INDEX(Szabályok!$D$13:$D$200,MATCH(H184,Szabályok!$A$13:$A$200,0)),""))</f>
        <v/>
      </c>
      <c r="L184" s="5">
        <f>IF(H184="","",IFERROR(INDEX(Szabályok!$E$13:$E$200,MATCH(H184,Szabályok!$A$13:$A$200,0)),""))</f>
        <v/>
      </c>
      <c r="M184" s="5">
        <f>IF(H184="","",IFERROR(INDEX(Szabályok!$F$13:$F$200,MATCH(H184,Szabályok!$A$13:$A$200,0)),""))</f>
        <v/>
      </c>
      <c r="N184" s="5">
        <f>IF(H184="","",IFERROR(INDEX(Szabályok!$G$13:$G$200,MATCH(H184,Szabályok!$A$13:$A$200,0)),""))</f>
        <v/>
      </c>
      <c r="O184" s="5">
        <f>IF(H184="","",IFERROR(INDEX(Szabályok!$H$13:$H$200,MATCH(H184,Szabályok!$A$13:$A$200,0)),""))</f>
        <v/>
      </c>
      <c r="P184" s="5" t="n"/>
      <c r="Q184" s="6" t="n"/>
      <c r="R184" s="6" t="n"/>
      <c r="S184" s="6">
        <f>IF(COUNT(Q184:R184)=0,"",SUM(Q184:R184))</f>
        <v/>
      </c>
      <c r="T184" s="6" t="n"/>
      <c r="U184" s="5">
        <f>IF(T184="","",IF(L184&lt;&gt;"IGEN","IGEN",IF(S184&gt;=T184,"IGEN","NEM")))</f>
        <v/>
      </c>
      <c r="V184" s="5" t="n"/>
      <c r="W184" s="5" t="n"/>
      <c r="X184" s="5" t="n"/>
      <c r="Y184" s="5" t="n"/>
      <c r="Z184" s="5">
        <f>IF(X184="","",IF(COUNTIFS($X$5:$X$304,X184,$I$5:$I$304,"&lt;"&amp;I184)=0,I184,""))</f>
        <v/>
      </c>
      <c r="AA184" s="5">
        <f>IF(X184="","",IF(COUNTIFS($X$5:$X$304,X184,$I$5:$I$304,"&lt;"&amp;I184)&gt;0,"NEM",IF(COUNTIFS($X$5:$X$304,X184,$I$5:$I$304,I184)=1,"IGEN",IF(Y184=1,"IGEN","NEM"))))</f>
        <v/>
      </c>
      <c r="AB184" s="5">
        <f>IF(OR(I184="",J184=""),"",IF(OR(I184=0,V184="IGEN",W184="IGEN"),"X",IF(AND(K184&lt;&gt;"IGEN",L184="IGEN",U184="NEM"),"X",IF(AA184="IGEN",J184,"X"))))</f>
        <v/>
      </c>
      <c r="AC184" s="5">
        <f>IF(AB184="X",0,IF(D184="","",D184))</f>
        <v/>
      </c>
      <c r="AD184" s="5">
        <f>IF(AB184="X",IF(D184="","",D184),0)</f>
        <v/>
      </c>
      <c r="AE184" s="6" t="n"/>
      <c r="AF184" s="6">
        <f>IF(E184="","",SUMIFS($AI$5:AI184,$E$5:E184,E184)-AI184)</f>
        <v/>
      </c>
      <c r="AG184" s="6">
        <f>IF(AE184="","",MAX(0,AE184-AF184))</f>
        <v/>
      </c>
      <c r="AH184" s="6">
        <f>IF(S184="","",IF(OR(I184=0,V184="IGEN",W184="IGEN"),0,IF(AND(K184&lt;&gt;"IGEN",L184="IGEN",U184="NEM"),0,S184)))</f>
        <v/>
      </c>
      <c r="AI184" s="6">
        <f>IF(AH184="","",IF(M184="IGEN",MIN(AH184,AG184),AH184))</f>
        <v/>
      </c>
      <c r="AJ184" s="5" t="n"/>
    </row>
    <row r="185">
      <c r="A185" s="5" t="n"/>
      <c r="B185" s="5" t="n"/>
      <c r="C185" s="5" t="n"/>
      <c r="D185" s="5">
        <f>IF(AND(B185&lt;&gt;"",C185&lt;&gt;""),C185-B185+1,"")</f>
        <v/>
      </c>
      <c r="E185" s="5">
        <f>IF(B185&lt;&gt;"",YEAR(B185),"")</f>
        <v/>
      </c>
      <c r="F185" s="6" t="n"/>
      <c r="G185" s="6" t="n"/>
      <c r="H185" s="6" t="n"/>
      <c r="I185" s="5">
        <f>IF(H185="","",IFERROR(INDEX(Szabályok!$B$13:$B$200,MATCH(H185,Szabályok!$A$13:$A$200,0)),""))</f>
        <v/>
      </c>
      <c r="J185" s="5">
        <f>IF(H185="","",IFERROR(INDEX(Szabályok!$C$13:$C$200,MATCH(H185,Szabályok!$A$13:$A$200,0)),""))</f>
        <v/>
      </c>
      <c r="K185" s="5">
        <f>IF(H185="","",IFERROR(INDEX(Szabályok!$D$13:$D$200,MATCH(H185,Szabályok!$A$13:$A$200,0)),""))</f>
        <v/>
      </c>
      <c r="L185" s="5">
        <f>IF(H185="","",IFERROR(INDEX(Szabályok!$E$13:$E$200,MATCH(H185,Szabályok!$A$13:$A$200,0)),""))</f>
        <v/>
      </c>
      <c r="M185" s="5">
        <f>IF(H185="","",IFERROR(INDEX(Szabályok!$F$13:$F$200,MATCH(H185,Szabályok!$A$13:$A$200,0)),""))</f>
        <v/>
      </c>
      <c r="N185" s="5">
        <f>IF(H185="","",IFERROR(INDEX(Szabályok!$G$13:$G$200,MATCH(H185,Szabályok!$A$13:$A$200,0)),""))</f>
        <v/>
      </c>
      <c r="O185" s="5">
        <f>IF(H185="","",IFERROR(INDEX(Szabályok!$H$13:$H$200,MATCH(H185,Szabályok!$A$13:$A$200,0)),""))</f>
        <v/>
      </c>
      <c r="P185" s="5" t="n"/>
      <c r="Q185" s="6" t="n"/>
      <c r="R185" s="6" t="n"/>
      <c r="S185" s="6">
        <f>IF(COUNT(Q185:R185)=0,"",SUM(Q185:R185))</f>
        <v/>
      </c>
      <c r="T185" s="6" t="n"/>
      <c r="U185" s="5">
        <f>IF(T185="","",IF(L185&lt;&gt;"IGEN","IGEN",IF(S185&gt;=T185,"IGEN","NEM")))</f>
        <v/>
      </c>
      <c r="V185" s="5" t="n"/>
      <c r="W185" s="5" t="n"/>
      <c r="X185" s="5" t="n"/>
      <c r="Y185" s="5" t="n"/>
      <c r="Z185" s="5">
        <f>IF(X185="","",IF(COUNTIFS($X$5:$X$304,X185,$I$5:$I$304,"&lt;"&amp;I185)=0,I185,""))</f>
        <v/>
      </c>
      <c r="AA185" s="5">
        <f>IF(X185="","",IF(COUNTIFS($X$5:$X$304,X185,$I$5:$I$304,"&lt;"&amp;I185)&gt;0,"NEM",IF(COUNTIFS($X$5:$X$304,X185,$I$5:$I$304,I185)=1,"IGEN",IF(Y185=1,"IGEN","NEM"))))</f>
        <v/>
      </c>
      <c r="AB185" s="5">
        <f>IF(OR(I185="",J185=""),"",IF(OR(I185=0,V185="IGEN",W185="IGEN"),"X",IF(AND(K185&lt;&gt;"IGEN",L185="IGEN",U185="NEM"),"X",IF(AA185="IGEN",J185,"X"))))</f>
        <v/>
      </c>
      <c r="AC185" s="5">
        <f>IF(AB185="X",0,IF(D185="","",D185))</f>
        <v/>
      </c>
      <c r="AD185" s="5">
        <f>IF(AB185="X",IF(D185="","",D185),0)</f>
        <v/>
      </c>
      <c r="AE185" s="6" t="n"/>
      <c r="AF185" s="6">
        <f>IF(E185="","",SUMIFS($AI$5:AI185,$E$5:E185,E185)-AI185)</f>
        <v/>
      </c>
      <c r="AG185" s="6">
        <f>IF(AE185="","",MAX(0,AE185-AF185))</f>
        <v/>
      </c>
      <c r="AH185" s="6">
        <f>IF(S185="","",IF(OR(I185=0,V185="IGEN",W185="IGEN"),0,IF(AND(K185&lt;&gt;"IGEN",L185="IGEN",U185="NEM"),0,S185)))</f>
        <v/>
      </c>
      <c r="AI185" s="6">
        <f>IF(AH185="","",IF(M185="IGEN",MIN(AH185,AG185),AH185))</f>
        <v/>
      </c>
      <c r="AJ185" s="5" t="n"/>
    </row>
    <row r="186">
      <c r="A186" s="5" t="n"/>
      <c r="B186" s="5" t="n"/>
      <c r="C186" s="5" t="n"/>
      <c r="D186" s="5">
        <f>IF(AND(B186&lt;&gt;"",C186&lt;&gt;""),C186-B186+1,"")</f>
        <v/>
      </c>
      <c r="E186" s="5">
        <f>IF(B186&lt;&gt;"",YEAR(B186),"")</f>
        <v/>
      </c>
      <c r="F186" s="6" t="n"/>
      <c r="G186" s="6" t="n"/>
      <c r="H186" s="6" t="n"/>
      <c r="I186" s="5">
        <f>IF(H186="","",IFERROR(INDEX(Szabályok!$B$13:$B$200,MATCH(H186,Szabályok!$A$13:$A$200,0)),""))</f>
        <v/>
      </c>
      <c r="J186" s="5">
        <f>IF(H186="","",IFERROR(INDEX(Szabályok!$C$13:$C$200,MATCH(H186,Szabályok!$A$13:$A$200,0)),""))</f>
        <v/>
      </c>
      <c r="K186" s="5">
        <f>IF(H186="","",IFERROR(INDEX(Szabályok!$D$13:$D$200,MATCH(H186,Szabályok!$A$13:$A$200,0)),""))</f>
        <v/>
      </c>
      <c r="L186" s="5">
        <f>IF(H186="","",IFERROR(INDEX(Szabályok!$E$13:$E$200,MATCH(H186,Szabályok!$A$13:$A$200,0)),""))</f>
        <v/>
      </c>
      <c r="M186" s="5">
        <f>IF(H186="","",IFERROR(INDEX(Szabályok!$F$13:$F$200,MATCH(H186,Szabályok!$A$13:$A$200,0)),""))</f>
        <v/>
      </c>
      <c r="N186" s="5">
        <f>IF(H186="","",IFERROR(INDEX(Szabályok!$G$13:$G$200,MATCH(H186,Szabályok!$A$13:$A$200,0)),""))</f>
        <v/>
      </c>
      <c r="O186" s="5">
        <f>IF(H186="","",IFERROR(INDEX(Szabályok!$H$13:$H$200,MATCH(H186,Szabályok!$A$13:$A$200,0)),""))</f>
        <v/>
      </c>
      <c r="P186" s="5" t="n"/>
      <c r="Q186" s="6" t="n"/>
      <c r="R186" s="6" t="n"/>
      <c r="S186" s="6">
        <f>IF(COUNT(Q186:R186)=0,"",SUM(Q186:R186))</f>
        <v/>
      </c>
      <c r="T186" s="6" t="n"/>
      <c r="U186" s="5">
        <f>IF(T186="","",IF(L186&lt;&gt;"IGEN","IGEN",IF(S186&gt;=T186,"IGEN","NEM")))</f>
        <v/>
      </c>
      <c r="V186" s="5" t="n"/>
      <c r="W186" s="5" t="n"/>
      <c r="X186" s="5" t="n"/>
      <c r="Y186" s="5" t="n"/>
      <c r="Z186" s="5">
        <f>IF(X186="","",IF(COUNTIFS($X$5:$X$304,X186,$I$5:$I$304,"&lt;"&amp;I186)=0,I186,""))</f>
        <v/>
      </c>
      <c r="AA186" s="5">
        <f>IF(X186="","",IF(COUNTIFS($X$5:$X$304,X186,$I$5:$I$304,"&lt;"&amp;I186)&gt;0,"NEM",IF(COUNTIFS($X$5:$X$304,X186,$I$5:$I$304,I186)=1,"IGEN",IF(Y186=1,"IGEN","NEM"))))</f>
        <v/>
      </c>
      <c r="AB186" s="5">
        <f>IF(OR(I186="",J186=""),"",IF(OR(I186=0,V186="IGEN",W186="IGEN"),"X",IF(AND(K186&lt;&gt;"IGEN",L186="IGEN",U186="NEM"),"X",IF(AA186="IGEN",J186,"X"))))</f>
        <v/>
      </c>
      <c r="AC186" s="5">
        <f>IF(AB186="X",0,IF(D186="","",D186))</f>
        <v/>
      </c>
      <c r="AD186" s="5">
        <f>IF(AB186="X",IF(D186="","",D186),0)</f>
        <v/>
      </c>
      <c r="AE186" s="6" t="n"/>
      <c r="AF186" s="6">
        <f>IF(E186="","",SUMIFS($AI$5:AI186,$E$5:E186,E186)-AI186)</f>
        <v/>
      </c>
      <c r="AG186" s="6">
        <f>IF(AE186="","",MAX(0,AE186-AF186))</f>
        <v/>
      </c>
      <c r="AH186" s="6">
        <f>IF(S186="","",IF(OR(I186=0,V186="IGEN",W186="IGEN"),0,IF(AND(K186&lt;&gt;"IGEN",L186="IGEN",U186="NEM"),0,S186)))</f>
        <v/>
      </c>
      <c r="AI186" s="6">
        <f>IF(AH186="","",IF(M186="IGEN",MIN(AH186,AG186),AH186))</f>
        <v/>
      </c>
      <c r="AJ186" s="5" t="n"/>
    </row>
    <row r="187">
      <c r="A187" s="5" t="n"/>
      <c r="B187" s="5" t="n"/>
      <c r="C187" s="5" t="n"/>
      <c r="D187" s="5">
        <f>IF(AND(B187&lt;&gt;"",C187&lt;&gt;""),C187-B187+1,"")</f>
        <v/>
      </c>
      <c r="E187" s="5">
        <f>IF(B187&lt;&gt;"",YEAR(B187),"")</f>
        <v/>
      </c>
      <c r="F187" s="6" t="n"/>
      <c r="G187" s="6" t="n"/>
      <c r="H187" s="6" t="n"/>
      <c r="I187" s="5">
        <f>IF(H187="","",IFERROR(INDEX(Szabályok!$B$13:$B$200,MATCH(H187,Szabályok!$A$13:$A$200,0)),""))</f>
        <v/>
      </c>
      <c r="J187" s="5">
        <f>IF(H187="","",IFERROR(INDEX(Szabályok!$C$13:$C$200,MATCH(H187,Szabályok!$A$13:$A$200,0)),""))</f>
        <v/>
      </c>
      <c r="K187" s="5">
        <f>IF(H187="","",IFERROR(INDEX(Szabályok!$D$13:$D$200,MATCH(H187,Szabályok!$A$13:$A$200,0)),""))</f>
        <v/>
      </c>
      <c r="L187" s="5">
        <f>IF(H187="","",IFERROR(INDEX(Szabályok!$E$13:$E$200,MATCH(H187,Szabályok!$A$13:$A$200,0)),""))</f>
        <v/>
      </c>
      <c r="M187" s="5">
        <f>IF(H187="","",IFERROR(INDEX(Szabályok!$F$13:$F$200,MATCH(H187,Szabályok!$A$13:$A$200,0)),""))</f>
        <v/>
      </c>
      <c r="N187" s="5">
        <f>IF(H187="","",IFERROR(INDEX(Szabályok!$G$13:$G$200,MATCH(H187,Szabályok!$A$13:$A$200,0)),""))</f>
        <v/>
      </c>
      <c r="O187" s="5">
        <f>IF(H187="","",IFERROR(INDEX(Szabályok!$H$13:$H$200,MATCH(H187,Szabályok!$A$13:$A$200,0)),""))</f>
        <v/>
      </c>
      <c r="P187" s="5" t="n"/>
      <c r="Q187" s="6" t="n"/>
      <c r="R187" s="6" t="n"/>
      <c r="S187" s="6">
        <f>IF(COUNT(Q187:R187)=0,"",SUM(Q187:R187))</f>
        <v/>
      </c>
      <c r="T187" s="6" t="n"/>
      <c r="U187" s="5">
        <f>IF(T187="","",IF(L187&lt;&gt;"IGEN","IGEN",IF(S187&gt;=T187,"IGEN","NEM")))</f>
        <v/>
      </c>
      <c r="V187" s="5" t="n"/>
      <c r="W187" s="5" t="n"/>
      <c r="X187" s="5" t="n"/>
      <c r="Y187" s="5" t="n"/>
      <c r="Z187" s="5">
        <f>IF(X187="","",IF(COUNTIFS($X$5:$X$304,X187,$I$5:$I$304,"&lt;"&amp;I187)=0,I187,""))</f>
        <v/>
      </c>
      <c r="AA187" s="5">
        <f>IF(X187="","",IF(COUNTIFS($X$5:$X$304,X187,$I$5:$I$304,"&lt;"&amp;I187)&gt;0,"NEM",IF(COUNTIFS($X$5:$X$304,X187,$I$5:$I$304,I187)=1,"IGEN",IF(Y187=1,"IGEN","NEM"))))</f>
        <v/>
      </c>
      <c r="AB187" s="5">
        <f>IF(OR(I187="",J187=""),"",IF(OR(I187=0,V187="IGEN",W187="IGEN"),"X",IF(AND(K187&lt;&gt;"IGEN",L187="IGEN",U187="NEM"),"X",IF(AA187="IGEN",J187,"X"))))</f>
        <v/>
      </c>
      <c r="AC187" s="5">
        <f>IF(AB187="X",0,IF(D187="","",D187))</f>
        <v/>
      </c>
      <c r="AD187" s="5">
        <f>IF(AB187="X",IF(D187="","",D187),0)</f>
        <v/>
      </c>
      <c r="AE187" s="6" t="n"/>
      <c r="AF187" s="6">
        <f>IF(E187="","",SUMIFS($AI$5:AI187,$E$5:E187,E187)-AI187)</f>
        <v/>
      </c>
      <c r="AG187" s="6">
        <f>IF(AE187="","",MAX(0,AE187-AF187))</f>
        <v/>
      </c>
      <c r="AH187" s="6">
        <f>IF(S187="","",IF(OR(I187=0,V187="IGEN",W187="IGEN"),0,IF(AND(K187&lt;&gt;"IGEN",L187="IGEN",U187="NEM"),0,S187)))</f>
        <v/>
      </c>
      <c r="AI187" s="6">
        <f>IF(AH187="","",IF(M187="IGEN",MIN(AH187,AG187),AH187))</f>
        <v/>
      </c>
      <c r="AJ187" s="5" t="n"/>
    </row>
    <row r="188">
      <c r="A188" s="5" t="n"/>
      <c r="B188" s="5" t="n"/>
      <c r="C188" s="5" t="n"/>
      <c r="D188" s="5">
        <f>IF(AND(B188&lt;&gt;"",C188&lt;&gt;""),C188-B188+1,"")</f>
        <v/>
      </c>
      <c r="E188" s="5">
        <f>IF(B188&lt;&gt;"",YEAR(B188),"")</f>
        <v/>
      </c>
      <c r="F188" s="6" t="n"/>
      <c r="G188" s="6" t="n"/>
      <c r="H188" s="6" t="n"/>
      <c r="I188" s="5">
        <f>IF(H188="","",IFERROR(INDEX(Szabályok!$B$13:$B$200,MATCH(H188,Szabályok!$A$13:$A$200,0)),""))</f>
        <v/>
      </c>
      <c r="J188" s="5">
        <f>IF(H188="","",IFERROR(INDEX(Szabályok!$C$13:$C$200,MATCH(H188,Szabályok!$A$13:$A$200,0)),""))</f>
        <v/>
      </c>
      <c r="K188" s="5">
        <f>IF(H188="","",IFERROR(INDEX(Szabályok!$D$13:$D$200,MATCH(H188,Szabályok!$A$13:$A$200,0)),""))</f>
        <v/>
      </c>
      <c r="L188" s="5">
        <f>IF(H188="","",IFERROR(INDEX(Szabályok!$E$13:$E$200,MATCH(H188,Szabályok!$A$13:$A$200,0)),""))</f>
        <v/>
      </c>
      <c r="M188" s="5">
        <f>IF(H188="","",IFERROR(INDEX(Szabályok!$F$13:$F$200,MATCH(H188,Szabályok!$A$13:$A$200,0)),""))</f>
        <v/>
      </c>
      <c r="N188" s="5">
        <f>IF(H188="","",IFERROR(INDEX(Szabályok!$G$13:$G$200,MATCH(H188,Szabályok!$A$13:$A$200,0)),""))</f>
        <v/>
      </c>
      <c r="O188" s="5">
        <f>IF(H188="","",IFERROR(INDEX(Szabályok!$H$13:$H$200,MATCH(H188,Szabályok!$A$13:$A$200,0)),""))</f>
        <v/>
      </c>
      <c r="P188" s="5" t="n"/>
      <c r="Q188" s="6" t="n"/>
      <c r="R188" s="6" t="n"/>
      <c r="S188" s="6">
        <f>IF(COUNT(Q188:R188)=0,"",SUM(Q188:R188))</f>
        <v/>
      </c>
      <c r="T188" s="6" t="n"/>
      <c r="U188" s="5">
        <f>IF(T188="","",IF(L188&lt;&gt;"IGEN","IGEN",IF(S188&gt;=T188,"IGEN","NEM")))</f>
        <v/>
      </c>
      <c r="V188" s="5" t="n"/>
      <c r="W188" s="5" t="n"/>
      <c r="X188" s="5" t="n"/>
      <c r="Y188" s="5" t="n"/>
      <c r="Z188" s="5">
        <f>IF(X188="","",IF(COUNTIFS($X$5:$X$304,X188,$I$5:$I$304,"&lt;"&amp;I188)=0,I188,""))</f>
        <v/>
      </c>
      <c r="AA188" s="5">
        <f>IF(X188="","",IF(COUNTIFS($X$5:$X$304,X188,$I$5:$I$304,"&lt;"&amp;I188)&gt;0,"NEM",IF(COUNTIFS($X$5:$X$304,X188,$I$5:$I$304,I188)=1,"IGEN",IF(Y188=1,"IGEN","NEM"))))</f>
        <v/>
      </c>
      <c r="AB188" s="5">
        <f>IF(OR(I188="",J188=""),"",IF(OR(I188=0,V188="IGEN",W188="IGEN"),"X",IF(AND(K188&lt;&gt;"IGEN",L188="IGEN",U188="NEM"),"X",IF(AA188="IGEN",J188,"X"))))</f>
        <v/>
      </c>
      <c r="AC188" s="5">
        <f>IF(AB188="X",0,IF(D188="","",D188))</f>
        <v/>
      </c>
      <c r="AD188" s="5">
        <f>IF(AB188="X",IF(D188="","",D188),0)</f>
        <v/>
      </c>
      <c r="AE188" s="6" t="n"/>
      <c r="AF188" s="6">
        <f>IF(E188="","",SUMIFS($AI$5:AI188,$E$5:E188,E188)-AI188)</f>
        <v/>
      </c>
      <c r="AG188" s="6">
        <f>IF(AE188="","",MAX(0,AE188-AF188))</f>
        <v/>
      </c>
      <c r="AH188" s="6">
        <f>IF(S188="","",IF(OR(I188=0,V188="IGEN",W188="IGEN"),0,IF(AND(K188&lt;&gt;"IGEN",L188="IGEN",U188="NEM"),0,S188)))</f>
        <v/>
      </c>
      <c r="AI188" s="6">
        <f>IF(AH188="","",IF(M188="IGEN",MIN(AH188,AG188),AH188))</f>
        <v/>
      </c>
      <c r="AJ188" s="5" t="n"/>
    </row>
    <row r="189">
      <c r="A189" s="5" t="n"/>
      <c r="B189" s="5" t="n"/>
      <c r="C189" s="5" t="n"/>
      <c r="D189" s="5">
        <f>IF(AND(B189&lt;&gt;"",C189&lt;&gt;""),C189-B189+1,"")</f>
        <v/>
      </c>
      <c r="E189" s="5">
        <f>IF(B189&lt;&gt;"",YEAR(B189),"")</f>
        <v/>
      </c>
      <c r="F189" s="6" t="n"/>
      <c r="G189" s="6" t="n"/>
      <c r="H189" s="6" t="n"/>
      <c r="I189" s="5">
        <f>IF(H189="","",IFERROR(INDEX(Szabályok!$B$13:$B$200,MATCH(H189,Szabályok!$A$13:$A$200,0)),""))</f>
        <v/>
      </c>
      <c r="J189" s="5">
        <f>IF(H189="","",IFERROR(INDEX(Szabályok!$C$13:$C$200,MATCH(H189,Szabályok!$A$13:$A$200,0)),""))</f>
        <v/>
      </c>
      <c r="K189" s="5">
        <f>IF(H189="","",IFERROR(INDEX(Szabályok!$D$13:$D$200,MATCH(H189,Szabályok!$A$13:$A$200,0)),""))</f>
        <v/>
      </c>
      <c r="L189" s="5">
        <f>IF(H189="","",IFERROR(INDEX(Szabályok!$E$13:$E$200,MATCH(H189,Szabályok!$A$13:$A$200,0)),""))</f>
        <v/>
      </c>
      <c r="M189" s="5">
        <f>IF(H189="","",IFERROR(INDEX(Szabályok!$F$13:$F$200,MATCH(H189,Szabályok!$A$13:$A$200,0)),""))</f>
        <v/>
      </c>
      <c r="N189" s="5">
        <f>IF(H189="","",IFERROR(INDEX(Szabályok!$G$13:$G$200,MATCH(H189,Szabályok!$A$13:$A$200,0)),""))</f>
        <v/>
      </c>
      <c r="O189" s="5">
        <f>IF(H189="","",IFERROR(INDEX(Szabályok!$H$13:$H$200,MATCH(H189,Szabályok!$A$13:$A$200,0)),""))</f>
        <v/>
      </c>
      <c r="P189" s="5" t="n"/>
      <c r="Q189" s="6" t="n"/>
      <c r="R189" s="6" t="n"/>
      <c r="S189" s="6">
        <f>IF(COUNT(Q189:R189)=0,"",SUM(Q189:R189))</f>
        <v/>
      </c>
      <c r="T189" s="6" t="n"/>
      <c r="U189" s="5">
        <f>IF(T189="","",IF(L189&lt;&gt;"IGEN","IGEN",IF(S189&gt;=T189,"IGEN","NEM")))</f>
        <v/>
      </c>
      <c r="V189" s="5" t="n"/>
      <c r="W189" s="5" t="n"/>
      <c r="X189" s="5" t="n"/>
      <c r="Y189" s="5" t="n"/>
      <c r="Z189" s="5">
        <f>IF(X189="","",IF(COUNTIFS($X$5:$X$304,X189,$I$5:$I$304,"&lt;"&amp;I189)=0,I189,""))</f>
        <v/>
      </c>
      <c r="AA189" s="5">
        <f>IF(X189="","",IF(COUNTIFS($X$5:$X$304,X189,$I$5:$I$304,"&lt;"&amp;I189)&gt;0,"NEM",IF(COUNTIFS($X$5:$X$304,X189,$I$5:$I$304,I189)=1,"IGEN",IF(Y189=1,"IGEN","NEM"))))</f>
        <v/>
      </c>
      <c r="AB189" s="5">
        <f>IF(OR(I189="",J189=""),"",IF(OR(I189=0,V189="IGEN",W189="IGEN"),"X",IF(AND(K189&lt;&gt;"IGEN",L189="IGEN",U189="NEM"),"X",IF(AA189="IGEN",J189,"X"))))</f>
        <v/>
      </c>
      <c r="AC189" s="5">
        <f>IF(AB189="X",0,IF(D189="","",D189))</f>
        <v/>
      </c>
      <c r="AD189" s="5">
        <f>IF(AB189="X",IF(D189="","",D189),0)</f>
        <v/>
      </c>
      <c r="AE189" s="6" t="n"/>
      <c r="AF189" s="6">
        <f>IF(E189="","",SUMIFS($AI$5:AI189,$E$5:E189,E189)-AI189)</f>
        <v/>
      </c>
      <c r="AG189" s="6">
        <f>IF(AE189="","",MAX(0,AE189-AF189))</f>
        <v/>
      </c>
      <c r="AH189" s="6">
        <f>IF(S189="","",IF(OR(I189=0,V189="IGEN",W189="IGEN"),0,IF(AND(K189&lt;&gt;"IGEN",L189="IGEN",U189="NEM"),0,S189)))</f>
        <v/>
      </c>
      <c r="AI189" s="6">
        <f>IF(AH189="","",IF(M189="IGEN",MIN(AH189,AG189),AH189))</f>
        <v/>
      </c>
      <c r="AJ189" s="5" t="n"/>
    </row>
    <row r="190">
      <c r="A190" s="5" t="n"/>
      <c r="B190" s="5" t="n"/>
      <c r="C190" s="5" t="n"/>
      <c r="D190" s="5">
        <f>IF(AND(B190&lt;&gt;"",C190&lt;&gt;""),C190-B190+1,"")</f>
        <v/>
      </c>
      <c r="E190" s="5">
        <f>IF(B190&lt;&gt;"",YEAR(B190),"")</f>
        <v/>
      </c>
      <c r="F190" s="6" t="n"/>
      <c r="G190" s="6" t="n"/>
      <c r="H190" s="6" t="n"/>
      <c r="I190" s="5">
        <f>IF(H190="","",IFERROR(INDEX(Szabályok!$B$13:$B$200,MATCH(H190,Szabályok!$A$13:$A$200,0)),""))</f>
        <v/>
      </c>
      <c r="J190" s="5">
        <f>IF(H190="","",IFERROR(INDEX(Szabályok!$C$13:$C$200,MATCH(H190,Szabályok!$A$13:$A$200,0)),""))</f>
        <v/>
      </c>
      <c r="K190" s="5">
        <f>IF(H190="","",IFERROR(INDEX(Szabályok!$D$13:$D$200,MATCH(H190,Szabályok!$A$13:$A$200,0)),""))</f>
        <v/>
      </c>
      <c r="L190" s="5">
        <f>IF(H190="","",IFERROR(INDEX(Szabályok!$E$13:$E$200,MATCH(H190,Szabályok!$A$13:$A$200,0)),""))</f>
        <v/>
      </c>
      <c r="M190" s="5">
        <f>IF(H190="","",IFERROR(INDEX(Szabályok!$F$13:$F$200,MATCH(H190,Szabályok!$A$13:$A$200,0)),""))</f>
        <v/>
      </c>
      <c r="N190" s="5">
        <f>IF(H190="","",IFERROR(INDEX(Szabályok!$G$13:$G$200,MATCH(H190,Szabályok!$A$13:$A$200,0)),""))</f>
        <v/>
      </c>
      <c r="O190" s="5">
        <f>IF(H190="","",IFERROR(INDEX(Szabályok!$H$13:$H$200,MATCH(H190,Szabályok!$A$13:$A$200,0)),""))</f>
        <v/>
      </c>
      <c r="P190" s="5" t="n"/>
      <c r="Q190" s="6" t="n"/>
      <c r="R190" s="6" t="n"/>
      <c r="S190" s="6">
        <f>IF(COUNT(Q190:R190)=0,"",SUM(Q190:R190))</f>
        <v/>
      </c>
      <c r="T190" s="6" t="n"/>
      <c r="U190" s="5">
        <f>IF(T190="","",IF(L190&lt;&gt;"IGEN","IGEN",IF(S190&gt;=T190,"IGEN","NEM")))</f>
        <v/>
      </c>
      <c r="V190" s="5" t="n"/>
      <c r="W190" s="5" t="n"/>
      <c r="X190" s="5" t="n"/>
      <c r="Y190" s="5" t="n"/>
      <c r="Z190" s="5">
        <f>IF(X190="","",IF(COUNTIFS($X$5:$X$304,X190,$I$5:$I$304,"&lt;"&amp;I190)=0,I190,""))</f>
        <v/>
      </c>
      <c r="AA190" s="5">
        <f>IF(X190="","",IF(COUNTIFS($X$5:$X$304,X190,$I$5:$I$304,"&lt;"&amp;I190)&gt;0,"NEM",IF(COUNTIFS($X$5:$X$304,X190,$I$5:$I$304,I190)=1,"IGEN",IF(Y190=1,"IGEN","NEM"))))</f>
        <v/>
      </c>
      <c r="AB190" s="5">
        <f>IF(OR(I190="",J190=""),"",IF(OR(I190=0,V190="IGEN",W190="IGEN"),"X",IF(AND(K190&lt;&gt;"IGEN",L190="IGEN",U190="NEM"),"X",IF(AA190="IGEN",J190,"X"))))</f>
        <v/>
      </c>
      <c r="AC190" s="5">
        <f>IF(AB190="X",0,IF(D190="","",D190))</f>
        <v/>
      </c>
      <c r="AD190" s="5">
        <f>IF(AB190="X",IF(D190="","",D190),0)</f>
        <v/>
      </c>
      <c r="AE190" s="6" t="n"/>
      <c r="AF190" s="6">
        <f>IF(E190="","",SUMIFS($AI$5:AI190,$E$5:E190,E190)-AI190)</f>
        <v/>
      </c>
      <c r="AG190" s="6">
        <f>IF(AE190="","",MAX(0,AE190-AF190))</f>
        <v/>
      </c>
      <c r="AH190" s="6">
        <f>IF(S190="","",IF(OR(I190=0,V190="IGEN",W190="IGEN"),0,IF(AND(K190&lt;&gt;"IGEN",L190="IGEN",U190="NEM"),0,S190)))</f>
        <v/>
      </c>
      <c r="AI190" s="6">
        <f>IF(AH190="","",IF(M190="IGEN",MIN(AH190,AG190),AH190))</f>
        <v/>
      </c>
      <c r="AJ190" s="5" t="n"/>
    </row>
    <row r="191">
      <c r="A191" s="5" t="n"/>
      <c r="B191" s="5" t="n"/>
      <c r="C191" s="5" t="n"/>
      <c r="D191" s="5">
        <f>IF(AND(B191&lt;&gt;"",C191&lt;&gt;""),C191-B191+1,"")</f>
        <v/>
      </c>
      <c r="E191" s="5">
        <f>IF(B191&lt;&gt;"",YEAR(B191),"")</f>
        <v/>
      </c>
      <c r="F191" s="6" t="n"/>
      <c r="G191" s="6" t="n"/>
      <c r="H191" s="6" t="n"/>
      <c r="I191" s="5">
        <f>IF(H191="","",IFERROR(INDEX(Szabályok!$B$13:$B$200,MATCH(H191,Szabályok!$A$13:$A$200,0)),""))</f>
        <v/>
      </c>
      <c r="J191" s="5">
        <f>IF(H191="","",IFERROR(INDEX(Szabályok!$C$13:$C$200,MATCH(H191,Szabályok!$A$13:$A$200,0)),""))</f>
        <v/>
      </c>
      <c r="K191" s="5">
        <f>IF(H191="","",IFERROR(INDEX(Szabályok!$D$13:$D$200,MATCH(H191,Szabályok!$A$13:$A$200,0)),""))</f>
        <v/>
      </c>
      <c r="L191" s="5">
        <f>IF(H191="","",IFERROR(INDEX(Szabályok!$E$13:$E$200,MATCH(H191,Szabályok!$A$13:$A$200,0)),""))</f>
        <v/>
      </c>
      <c r="M191" s="5">
        <f>IF(H191="","",IFERROR(INDEX(Szabályok!$F$13:$F$200,MATCH(H191,Szabályok!$A$13:$A$200,0)),""))</f>
        <v/>
      </c>
      <c r="N191" s="5">
        <f>IF(H191="","",IFERROR(INDEX(Szabályok!$G$13:$G$200,MATCH(H191,Szabályok!$A$13:$A$200,0)),""))</f>
        <v/>
      </c>
      <c r="O191" s="5">
        <f>IF(H191="","",IFERROR(INDEX(Szabályok!$H$13:$H$200,MATCH(H191,Szabályok!$A$13:$A$200,0)),""))</f>
        <v/>
      </c>
      <c r="P191" s="5" t="n"/>
      <c r="Q191" s="6" t="n"/>
      <c r="R191" s="6" t="n"/>
      <c r="S191" s="6">
        <f>IF(COUNT(Q191:R191)=0,"",SUM(Q191:R191))</f>
        <v/>
      </c>
      <c r="T191" s="6" t="n"/>
      <c r="U191" s="5">
        <f>IF(T191="","",IF(L191&lt;&gt;"IGEN","IGEN",IF(S191&gt;=T191,"IGEN","NEM")))</f>
        <v/>
      </c>
      <c r="V191" s="5" t="n"/>
      <c r="W191" s="5" t="n"/>
      <c r="X191" s="5" t="n"/>
      <c r="Y191" s="5" t="n"/>
      <c r="Z191" s="5">
        <f>IF(X191="","",IF(COUNTIFS($X$5:$X$304,X191,$I$5:$I$304,"&lt;"&amp;I191)=0,I191,""))</f>
        <v/>
      </c>
      <c r="AA191" s="5">
        <f>IF(X191="","",IF(COUNTIFS($X$5:$X$304,X191,$I$5:$I$304,"&lt;"&amp;I191)&gt;0,"NEM",IF(COUNTIFS($X$5:$X$304,X191,$I$5:$I$304,I191)=1,"IGEN",IF(Y191=1,"IGEN","NEM"))))</f>
        <v/>
      </c>
      <c r="AB191" s="5">
        <f>IF(OR(I191="",J191=""),"",IF(OR(I191=0,V191="IGEN",W191="IGEN"),"X",IF(AND(K191&lt;&gt;"IGEN",L191="IGEN",U191="NEM"),"X",IF(AA191="IGEN",J191,"X"))))</f>
        <v/>
      </c>
      <c r="AC191" s="5">
        <f>IF(AB191="X",0,IF(D191="","",D191))</f>
        <v/>
      </c>
      <c r="AD191" s="5">
        <f>IF(AB191="X",IF(D191="","",D191),0)</f>
        <v/>
      </c>
      <c r="AE191" s="6" t="n"/>
      <c r="AF191" s="6">
        <f>IF(E191="","",SUMIFS($AI$5:AI191,$E$5:E191,E191)-AI191)</f>
        <v/>
      </c>
      <c r="AG191" s="6">
        <f>IF(AE191="","",MAX(0,AE191-AF191))</f>
        <v/>
      </c>
      <c r="AH191" s="6">
        <f>IF(S191="","",IF(OR(I191=0,V191="IGEN",W191="IGEN"),0,IF(AND(K191&lt;&gt;"IGEN",L191="IGEN",U191="NEM"),0,S191)))</f>
        <v/>
      </c>
      <c r="AI191" s="6">
        <f>IF(AH191="","",IF(M191="IGEN",MIN(AH191,AG191),AH191))</f>
        <v/>
      </c>
      <c r="AJ191" s="5" t="n"/>
    </row>
    <row r="192">
      <c r="A192" s="5" t="n"/>
      <c r="B192" s="5" t="n"/>
      <c r="C192" s="5" t="n"/>
      <c r="D192" s="5">
        <f>IF(AND(B192&lt;&gt;"",C192&lt;&gt;""),C192-B192+1,"")</f>
        <v/>
      </c>
      <c r="E192" s="5">
        <f>IF(B192&lt;&gt;"",YEAR(B192),"")</f>
        <v/>
      </c>
      <c r="F192" s="6" t="n"/>
      <c r="G192" s="6" t="n"/>
      <c r="H192" s="6" t="n"/>
      <c r="I192" s="5">
        <f>IF(H192="","",IFERROR(INDEX(Szabályok!$B$13:$B$200,MATCH(H192,Szabályok!$A$13:$A$200,0)),""))</f>
        <v/>
      </c>
      <c r="J192" s="5">
        <f>IF(H192="","",IFERROR(INDEX(Szabályok!$C$13:$C$200,MATCH(H192,Szabályok!$A$13:$A$200,0)),""))</f>
        <v/>
      </c>
      <c r="K192" s="5">
        <f>IF(H192="","",IFERROR(INDEX(Szabályok!$D$13:$D$200,MATCH(H192,Szabályok!$A$13:$A$200,0)),""))</f>
        <v/>
      </c>
      <c r="L192" s="5">
        <f>IF(H192="","",IFERROR(INDEX(Szabályok!$E$13:$E$200,MATCH(H192,Szabályok!$A$13:$A$200,0)),""))</f>
        <v/>
      </c>
      <c r="M192" s="5">
        <f>IF(H192="","",IFERROR(INDEX(Szabályok!$F$13:$F$200,MATCH(H192,Szabályok!$A$13:$A$200,0)),""))</f>
        <v/>
      </c>
      <c r="N192" s="5">
        <f>IF(H192="","",IFERROR(INDEX(Szabályok!$G$13:$G$200,MATCH(H192,Szabályok!$A$13:$A$200,0)),""))</f>
        <v/>
      </c>
      <c r="O192" s="5">
        <f>IF(H192="","",IFERROR(INDEX(Szabályok!$H$13:$H$200,MATCH(H192,Szabályok!$A$13:$A$200,0)),""))</f>
        <v/>
      </c>
      <c r="P192" s="5" t="n"/>
      <c r="Q192" s="6" t="n"/>
      <c r="R192" s="6" t="n"/>
      <c r="S192" s="6">
        <f>IF(COUNT(Q192:R192)=0,"",SUM(Q192:R192))</f>
        <v/>
      </c>
      <c r="T192" s="6" t="n"/>
      <c r="U192" s="5">
        <f>IF(T192="","",IF(L192&lt;&gt;"IGEN","IGEN",IF(S192&gt;=T192,"IGEN","NEM")))</f>
        <v/>
      </c>
      <c r="V192" s="5" t="n"/>
      <c r="W192" s="5" t="n"/>
      <c r="X192" s="5" t="n"/>
      <c r="Y192" s="5" t="n"/>
      <c r="Z192" s="5">
        <f>IF(X192="","",IF(COUNTIFS($X$5:$X$304,X192,$I$5:$I$304,"&lt;"&amp;I192)=0,I192,""))</f>
        <v/>
      </c>
      <c r="AA192" s="5">
        <f>IF(X192="","",IF(COUNTIFS($X$5:$X$304,X192,$I$5:$I$304,"&lt;"&amp;I192)&gt;0,"NEM",IF(COUNTIFS($X$5:$X$304,X192,$I$5:$I$304,I192)=1,"IGEN",IF(Y192=1,"IGEN","NEM"))))</f>
        <v/>
      </c>
      <c r="AB192" s="5">
        <f>IF(OR(I192="",J192=""),"",IF(OR(I192=0,V192="IGEN",W192="IGEN"),"X",IF(AND(K192&lt;&gt;"IGEN",L192="IGEN",U192="NEM"),"X",IF(AA192="IGEN",J192,"X"))))</f>
        <v/>
      </c>
      <c r="AC192" s="5">
        <f>IF(AB192="X",0,IF(D192="","",D192))</f>
        <v/>
      </c>
      <c r="AD192" s="5">
        <f>IF(AB192="X",IF(D192="","",D192),0)</f>
        <v/>
      </c>
      <c r="AE192" s="6" t="n"/>
      <c r="AF192" s="6">
        <f>IF(E192="","",SUMIFS($AI$5:AI192,$E$5:E192,E192)-AI192)</f>
        <v/>
      </c>
      <c r="AG192" s="6">
        <f>IF(AE192="","",MAX(0,AE192-AF192))</f>
        <v/>
      </c>
      <c r="AH192" s="6">
        <f>IF(S192="","",IF(OR(I192=0,V192="IGEN",W192="IGEN"),0,IF(AND(K192&lt;&gt;"IGEN",L192="IGEN",U192="NEM"),0,S192)))</f>
        <v/>
      </c>
      <c r="AI192" s="6">
        <f>IF(AH192="","",IF(M192="IGEN",MIN(AH192,AG192),AH192))</f>
        <v/>
      </c>
      <c r="AJ192" s="5" t="n"/>
    </row>
    <row r="193">
      <c r="A193" s="5" t="n"/>
      <c r="B193" s="5" t="n"/>
      <c r="C193" s="5" t="n"/>
      <c r="D193" s="5">
        <f>IF(AND(B193&lt;&gt;"",C193&lt;&gt;""),C193-B193+1,"")</f>
        <v/>
      </c>
      <c r="E193" s="5">
        <f>IF(B193&lt;&gt;"",YEAR(B193),"")</f>
        <v/>
      </c>
      <c r="F193" s="6" t="n"/>
      <c r="G193" s="6" t="n"/>
      <c r="H193" s="6" t="n"/>
      <c r="I193" s="5">
        <f>IF(H193="","",IFERROR(INDEX(Szabályok!$B$13:$B$200,MATCH(H193,Szabályok!$A$13:$A$200,0)),""))</f>
        <v/>
      </c>
      <c r="J193" s="5">
        <f>IF(H193="","",IFERROR(INDEX(Szabályok!$C$13:$C$200,MATCH(H193,Szabályok!$A$13:$A$200,0)),""))</f>
        <v/>
      </c>
      <c r="K193" s="5">
        <f>IF(H193="","",IFERROR(INDEX(Szabályok!$D$13:$D$200,MATCH(H193,Szabályok!$A$13:$A$200,0)),""))</f>
        <v/>
      </c>
      <c r="L193" s="5">
        <f>IF(H193="","",IFERROR(INDEX(Szabályok!$E$13:$E$200,MATCH(H193,Szabályok!$A$13:$A$200,0)),""))</f>
        <v/>
      </c>
      <c r="M193" s="5">
        <f>IF(H193="","",IFERROR(INDEX(Szabályok!$F$13:$F$200,MATCH(H193,Szabályok!$A$13:$A$200,0)),""))</f>
        <v/>
      </c>
      <c r="N193" s="5">
        <f>IF(H193="","",IFERROR(INDEX(Szabályok!$G$13:$G$200,MATCH(H193,Szabályok!$A$13:$A$200,0)),""))</f>
        <v/>
      </c>
      <c r="O193" s="5">
        <f>IF(H193="","",IFERROR(INDEX(Szabályok!$H$13:$H$200,MATCH(H193,Szabályok!$A$13:$A$200,0)),""))</f>
        <v/>
      </c>
      <c r="P193" s="5" t="n"/>
      <c r="Q193" s="6" t="n"/>
      <c r="R193" s="6" t="n"/>
      <c r="S193" s="6">
        <f>IF(COUNT(Q193:R193)=0,"",SUM(Q193:R193))</f>
        <v/>
      </c>
      <c r="T193" s="6" t="n"/>
      <c r="U193" s="5">
        <f>IF(T193="","",IF(L193&lt;&gt;"IGEN","IGEN",IF(S193&gt;=T193,"IGEN","NEM")))</f>
        <v/>
      </c>
      <c r="V193" s="5" t="n"/>
      <c r="W193" s="5" t="n"/>
      <c r="X193" s="5" t="n"/>
      <c r="Y193" s="5" t="n"/>
      <c r="Z193" s="5">
        <f>IF(X193="","",IF(COUNTIFS($X$5:$X$304,X193,$I$5:$I$304,"&lt;"&amp;I193)=0,I193,""))</f>
        <v/>
      </c>
      <c r="AA193" s="5">
        <f>IF(X193="","",IF(COUNTIFS($X$5:$X$304,X193,$I$5:$I$304,"&lt;"&amp;I193)&gt;0,"NEM",IF(COUNTIFS($X$5:$X$304,X193,$I$5:$I$304,I193)=1,"IGEN",IF(Y193=1,"IGEN","NEM"))))</f>
        <v/>
      </c>
      <c r="AB193" s="5">
        <f>IF(OR(I193="",J193=""),"",IF(OR(I193=0,V193="IGEN",W193="IGEN"),"X",IF(AND(K193&lt;&gt;"IGEN",L193="IGEN",U193="NEM"),"X",IF(AA193="IGEN",J193,"X"))))</f>
        <v/>
      </c>
      <c r="AC193" s="5">
        <f>IF(AB193="X",0,IF(D193="","",D193))</f>
        <v/>
      </c>
      <c r="AD193" s="5">
        <f>IF(AB193="X",IF(D193="","",D193),0)</f>
        <v/>
      </c>
      <c r="AE193" s="6" t="n"/>
      <c r="AF193" s="6">
        <f>IF(E193="","",SUMIFS($AI$5:AI193,$E$5:E193,E193)-AI193)</f>
        <v/>
      </c>
      <c r="AG193" s="6">
        <f>IF(AE193="","",MAX(0,AE193-AF193))</f>
        <v/>
      </c>
      <c r="AH193" s="6">
        <f>IF(S193="","",IF(OR(I193=0,V193="IGEN",W193="IGEN"),0,IF(AND(K193&lt;&gt;"IGEN",L193="IGEN",U193="NEM"),0,S193)))</f>
        <v/>
      </c>
      <c r="AI193" s="6">
        <f>IF(AH193="","",IF(M193="IGEN",MIN(AH193,AG193),AH193))</f>
        <v/>
      </c>
      <c r="AJ193" s="5" t="n"/>
    </row>
    <row r="194">
      <c r="A194" s="5" t="n"/>
      <c r="B194" s="5" t="n"/>
      <c r="C194" s="5" t="n"/>
      <c r="D194" s="5">
        <f>IF(AND(B194&lt;&gt;"",C194&lt;&gt;""),C194-B194+1,"")</f>
        <v/>
      </c>
      <c r="E194" s="5">
        <f>IF(B194&lt;&gt;"",YEAR(B194),"")</f>
        <v/>
      </c>
      <c r="F194" s="6" t="n"/>
      <c r="G194" s="6" t="n"/>
      <c r="H194" s="6" t="n"/>
      <c r="I194" s="5">
        <f>IF(H194="","",IFERROR(INDEX(Szabályok!$B$13:$B$200,MATCH(H194,Szabályok!$A$13:$A$200,0)),""))</f>
        <v/>
      </c>
      <c r="J194" s="5">
        <f>IF(H194="","",IFERROR(INDEX(Szabályok!$C$13:$C$200,MATCH(H194,Szabályok!$A$13:$A$200,0)),""))</f>
        <v/>
      </c>
      <c r="K194" s="5">
        <f>IF(H194="","",IFERROR(INDEX(Szabályok!$D$13:$D$200,MATCH(H194,Szabályok!$A$13:$A$200,0)),""))</f>
        <v/>
      </c>
      <c r="L194" s="5">
        <f>IF(H194="","",IFERROR(INDEX(Szabályok!$E$13:$E$200,MATCH(H194,Szabályok!$A$13:$A$200,0)),""))</f>
        <v/>
      </c>
      <c r="M194" s="5">
        <f>IF(H194="","",IFERROR(INDEX(Szabályok!$F$13:$F$200,MATCH(H194,Szabályok!$A$13:$A$200,0)),""))</f>
        <v/>
      </c>
      <c r="N194" s="5">
        <f>IF(H194="","",IFERROR(INDEX(Szabályok!$G$13:$G$200,MATCH(H194,Szabályok!$A$13:$A$200,0)),""))</f>
        <v/>
      </c>
      <c r="O194" s="5">
        <f>IF(H194="","",IFERROR(INDEX(Szabályok!$H$13:$H$200,MATCH(H194,Szabályok!$A$13:$A$200,0)),""))</f>
        <v/>
      </c>
      <c r="P194" s="5" t="n"/>
      <c r="Q194" s="6" t="n"/>
      <c r="R194" s="6" t="n"/>
      <c r="S194" s="6">
        <f>IF(COUNT(Q194:R194)=0,"",SUM(Q194:R194))</f>
        <v/>
      </c>
      <c r="T194" s="6" t="n"/>
      <c r="U194" s="5">
        <f>IF(T194="","",IF(L194&lt;&gt;"IGEN","IGEN",IF(S194&gt;=T194,"IGEN","NEM")))</f>
        <v/>
      </c>
      <c r="V194" s="5" t="n"/>
      <c r="W194" s="5" t="n"/>
      <c r="X194" s="5" t="n"/>
      <c r="Y194" s="5" t="n"/>
      <c r="Z194" s="5">
        <f>IF(X194="","",IF(COUNTIFS($X$5:$X$304,X194,$I$5:$I$304,"&lt;"&amp;I194)=0,I194,""))</f>
        <v/>
      </c>
      <c r="AA194" s="5">
        <f>IF(X194="","",IF(COUNTIFS($X$5:$X$304,X194,$I$5:$I$304,"&lt;"&amp;I194)&gt;0,"NEM",IF(COUNTIFS($X$5:$X$304,X194,$I$5:$I$304,I194)=1,"IGEN",IF(Y194=1,"IGEN","NEM"))))</f>
        <v/>
      </c>
      <c r="AB194" s="5">
        <f>IF(OR(I194="",J194=""),"",IF(OR(I194=0,V194="IGEN",W194="IGEN"),"X",IF(AND(K194&lt;&gt;"IGEN",L194="IGEN",U194="NEM"),"X",IF(AA194="IGEN",J194,"X"))))</f>
        <v/>
      </c>
      <c r="AC194" s="5">
        <f>IF(AB194="X",0,IF(D194="","",D194))</f>
        <v/>
      </c>
      <c r="AD194" s="5">
        <f>IF(AB194="X",IF(D194="","",D194),0)</f>
        <v/>
      </c>
      <c r="AE194" s="6" t="n"/>
      <c r="AF194" s="6">
        <f>IF(E194="","",SUMIFS($AI$5:AI194,$E$5:E194,E194)-AI194)</f>
        <v/>
      </c>
      <c r="AG194" s="6">
        <f>IF(AE194="","",MAX(0,AE194-AF194))</f>
        <v/>
      </c>
      <c r="AH194" s="6">
        <f>IF(S194="","",IF(OR(I194=0,V194="IGEN",W194="IGEN"),0,IF(AND(K194&lt;&gt;"IGEN",L194="IGEN",U194="NEM"),0,S194)))</f>
        <v/>
      </c>
      <c r="AI194" s="6">
        <f>IF(AH194="","",IF(M194="IGEN",MIN(AH194,AG194),AH194))</f>
        <v/>
      </c>
      <c r="AJ194" s="5" t="n"/>
    </row>
    <row r="195">
      <c r="A195" s="5" t="n"/>
      <c r="B195" s="5" t="n"/>
      <c r="C195" s="5" t="n"/>
      <c r="D195" s="5">
        <f>IF(AND(B195&lt;&gt;"",C195&lt;&gt;""),C195-B195+1,"")</f>
        <v/>
      </c>
      <c r="E195" s="5">
        <f>IF(B195&lt;&gt;"",YEAR(B195),"")</f>
        <v/>
      </c>
      <c r="F195" s="6" t="n"/>
      <c r="G195" s="6" t="n"/>
      <c r="H195" s="6" t="n"/>
      <c r="I195" s="5">
        <f>IF(H195="","",IFERROR(INDEX(Szabályok!$B$13:$B$200,MATCH(H195,Szabályok!$A$13:$A$200,0)),""))</f>
        <v/>
      </c>
      <c r="J195" s="5">
        <f>IF(H195="","",IFERROR(INDEX(Szabályok!$C$13:$C$200,MATCH(H195,Szabályok!$A$13:$A$200,0)),""))</f>
        <v/>
      </c>
      <c r="K195" s="5">
        <f>IF(H195="","",IFERROR(INDEX(Szabályok!$D$13:$D$200,MATCH(H195,Szabályok!$A$13:$A$200,0)),""))</f>
        <v/>
      </c>
      <c r="L195" s="5">
        <f>IF(H195="","",IFERROR(INDEX(Szabályok!$E$13:$E$200,MATCH(H195,Szabályok!$A$13:$A$200,0)),""))</f>
        <v/>
      </c>
      <c r="M195" s="5">
        <f>IF(H195="","",IFERROR(INDEX(Szabályok!$F$13:$F$200,MATCH(H195,Szabályok!$A$13:$A$200,0)),""))</f>
        <v/>
      </c>
      <c r="N195" s="5">
        <f>IF(H195="","",IFERROR(INDEX(Szabályok!$G$13:$G$200,MATCH(H195,Szabályok!$A$13:$A$200,0)),""))</f>
        <v/>
      </c>
      <c r="O195" s="5">
        <f>IF(H195="","",IFERROR(INDEX(Szabályok!$H$13:$H$200,MATCH(H195,Szabályok!$A$13:$A$200,0)),""))</f>
        <v/>
      </c>
      <c r="P195" s="5" t="n"/>
      <c r="Q195" s="6" t="n"/>
      <c r="R195" s="6" t="n"/>
      <c r="S195" s="6">
        <f>IF(COUNT(Q195:R195)=0,"",SUM(Q195:R195))</f>
        <v/>
      </c>
      <c r="T195" s="6" t="n"/>
      <c r="U195" s="5">
        <f>IF(T195="","",IF(L195&lt;&gt;"IGEN","IGEN",IF(S195&gt;=T195,"IGEN","NEM")))</f>
        <v/>
      </c>
      <c r="V195" s="5" t="n"/>
      <c r="W195" s="5" t="n"/>
      <c r="X195" s="5" t="n"/>
      <c r="Y195" s="5" t="n"/>
      <c r="Z195" s="5">
        <f>IF(X195="","",IF(COUNTIFS($X$5:$X$304,X195,$I$5:$I$304,"&lt;"&amp;I195)=0,I195,""))</f>
        <v/>
      </c>
      <c r="AA195" s="5">
        <f>IF(X195="","",IF(COUNTIFS($X$5:$X$304,X195,$I$5:$I$304,"&lt;"&amp;I195)&gt;0,"NEM",IF(COUNTIFS($X$5:$X$304,X195,$I$5:$I$304,I195)=1,"IGEN",IF(Y195=1,"IGEN","NEM"))))</f>
        <v/>
      </c>
      <c r="AB195" s="5">
        <f>IF(OR(I195="",J195=""),"",IF(OR(I195=0,V195="IGEN",W195="IGEN"),"X",IF(AND(K195&lt;&gt;"IGEN",L195="IGEN",U195="NEM"),"X",IF(AA195="IGEN",J195,"X"))))</f>
        <v/>
      </c>
      <c r="AC195" s="5">
        <f>IF(AB195="X",0,IF(D195="","",D195))</f>
        <v/>
      </c>
      <c r="AD195" s="5">
        <f>IF(AB195="X",IF(D195="","",D195),0)</f>
        <v/>
      </c>
      <c r="AE195" s="6" t="n"/>
      <c r="AF195" s="6">
        <f>IF(E195="","",SUMIFS($AI$5:AI195,$E$5:E195,E195)-AI195)</f>
        <v/>
      </c>
      <c r="AG195" s="6">
        <f>IF(AE195="","",MAX(0,AE195-AF195))</f>
        <v/>
      </c>
      <c r="AH195" s="6">
        <f>IF(S195="","",IF(OR(I195=0,V195="IGEN",W195="IGEN"),0,IF(AND(K195&lt;&gt;"IGEN",L195="IGEN",U195="NEM"),0,S195)))</f>
        <v/>
      </c>
      <c r="AI195" s="6">
        <f>IF(AH195="","",IF(M195="IGEN",MIN(AH195,AG195),AH195))</f>
        <v/>
      </c>
      <c r="AJ195" s="5" t="n"/>
    </row>
    <row r="196">
      <c r="A196" s="5" t="n"/>
      <c r="B196" s="5" t="n"/>
      <c r="C196" s="5" t="n"/>
      <c r="D196" s="5">
        <f>IF(AND(B196&lt;&gt;"",C196&lt;&gt;""),C196-B196+1,"")</f>
        <v/>
      </c>
      <c r="E196" s="5">
        <f>IF(B196&lt;&gt;"",YEAR(B196),"")</f>
        <v/>
      </c>
      <c r="F196" s="6" t="n"/>
      <c r="G196" s="6" t="n"/>
      <c r="H196" s="6" t="n"/>
      <c r="I196" s="5">
        <f>IF(H196="","",IFERROR(INDEX(Szabályok!$B$13:$B$200,MATCH(H196,Szabályok!$A$13:$A$200,0)),""))</f>
        <v/>
      </c>
      <c r="J196" s="5">
        <f>IF(H196="","",IFERROR(INDEX(Szabályok!$C$13:$C$200,MATCH(H196,Szabályok!$A$13:$A$200,0)),""))</f>
        <v/>
      </c>
      <c r="K196" s="5">
        <f>IF(H196="","",IFERROR(INDEX(Szabályok!$D$13:$D$200,MATCH(H196,Szabályok!$A$13:$A$200,0)),""))</f>
        <v/>
      </c>
      <c r="L196" s="5">
        <f>IF(H196="","",IFERROR(INDEX(Szabályok!$E$13:$E$200,MATCH(H196,Szabályok!$A$13:$A$200,0)),""))</f>
        <v/>
      </c>
      <c r="M196" s="5">
        <f>IF(H196="","",IFERROR(INDEX(Szabályok!$F$13:$F$200,MATCH(H196,Szabályok!$A$13:$A$200,0)),""))</f>
        <v/>
      </c>
      <c r="N196" s="5">
        <f>IF(H196="","",IFERROR(INDEX(Szabályok!$G$13:$G$200,MATCH(H196,Szabályok!$A$13:$A$200,0)),""))</f>
        <v/>
      </c>
      <c r="O196" s="5">
        <f>IF(H196="","",IFERROR(INDEX(Szabályok!$H$13:$H$200,MATCH(H196,Szabályok!$A$13:$A$200,0)),""))</f>
        <v/>
      </c>
      <c r="P196" s="5" t="n"/>
      <c r="Q196" s="6" t="n"/>
      <c r="R196" s="6" t="n"/>
      <c r="S196" s="6">
        <f>IF(COUNT(Q196:R196)=0,"",SUM(Q196:R196))</f>
        <v/>
      </c>
      <c r="T196" s="6" t="n"/>
      <c r="U196" s="5">
        <f>IF(T196="","",IF(L196&lt;&gt;"IGEN","IGEN",IF(S196&gt;=T196,"IGEN","NEM")))</f>
        <v/>
      </c>
      <c r="V196" s="5" t="n"/>
      <c r="W196" s="5" t="n"/>
      <c r="X196" s="5" t="n"/>
      <c r="Y196" s="5" t="n"/>
      <c r="Z196" s="5">
        <f>IF(X196="","",IF(COUNTIFS($X$5:$X$304,X196,$I$5:$I$304,"&lt;"&amp;I196)=0,I196,""))</f>
        <v/>
      </c>
      <c r="AA196" s="5">
        <f>IF(X196="","",IF(COUNTIFS($X$5:$X$304,X196,$I$5:$I$304,"&lt;"&amp;I196)&gt;0,"NEM",IF(COUNTIFS($X$5:$X$304,X196,$I$5:$I$304,I196)=1,"IGEN",IF(Y196=1,"IGEN","NEM"))))</f>
        <v/>
      </c>
      <c r="AB196" s="5">
        <f>IF(OR(I196="",J196=""),"",IF(OR(I196=0,V196="IGEN",W196="IGEN"),"X",IF(AND(K196&lt;&gt;"IGEN",L196="IGEN",U196="NEM"),"X",IF(AA196="IGEN",J196,"X"))))</f>
        <v/>
      </c>
      <c r="AC196" s="5">
        <f>IF(AB196="X",0,IF(D196="","",D196))</f>
        <v/>
      </c>
      <c r="AD196" s="5">
        <f>IF(AB196="X",IF(D196="","",D196),0)</f>
        <v/>
      </c>
      <c r="AE196" s="6" t="n"/>
      <c r="AF196" s="6">
        <f>IF(E196="","",SUMIFS($AI$5:AI196,$E$5:E196,E196)-AI196)</f>
        <v/>
      </c>
      <c r="AG196" s="6">
        <f>IF(AE196="","",MAX(0,AE196-AF196))</f>
        <v/>
      </c>
      <c r="AH196" s="6">
        <f>IF(S196="","",IF(OR(I196=0,V196="IGEN",W196="IGEN"),0,IF(AND(K196&lt;&gt;"IGEN",L196="IGEN",U196="NEM"),0,S196)))</f>
        <v/>
      </c>
      <c r="AI196" s="6">
        <f>IF(AH196="","",IF(M196="IGEN",MIN(AH196,AG196),AH196))</f>
        <v/>
      </c>
      <c r="AJ196" s="5" t="n"/>
    </row>
    <row r="197">
      <c r="A197" s="5" t="n"/>
      <c r="B197" s="5" t="n"/>
      <c r="C197" s="5" t="n"/>
      <c r="D197" s="5">
        <f>IF(AND(B197&lt;&gt;"",C197&lt;&gt;""),C197-B197+1,"")</f>
        <v/>
      </c>
      <c r="E197" s="5">
        <f>IF(B197&lt;&gt;"",YEAR(B197),"")</f>
        <v/>
      </c>
      <c r="F197" s="6" t="n"/>
      <c r="G197" s="6" t="n"/>
      <c r="H197" s="6" t="n"/>
      <c r="I197" s="5">
        <f>IF(H197="","",IFERROR(INDEX(Szabályok!$B$13:$B$200,MATCH(H197,Szabályok!$A$13:$A$200,0)),""))</f>
        <v/>
      </c>
      <c r="J197" s="5">
        <f>IF(H197="","",IFERROR(INDEX(Szabályok!$C$13:$C$200,MATCH(H197,Szabályok!$A$13:$A$200,0)),""))</f>
        <v/>
      </c>
      <c r="K197" s="5">
        <f>IF(H197="","",IFERROR(INDEX(Szabályok!$D$13:$D$200,MATCH(H197,Szabályok!$A$13:$A$200,0)),""))</f>
        <v/>
      </c>
      <c r="L197" s="5">
        <f>IF(H197="","",IFERROR(INDEX(Szabályok!$E$13:$E$200,MATCH(H197,Szabályok!$A$13:$A$200,0)),""))</f>
        <v/>
      </c>
      <c r="M197" s="5">
        <f>IF(H197="","",IFERROR(INDEX(Szabályok!$F$13:$F$200,MATCH(H197,Szabályok!$A$13:$A$200,0)),""))</f>
        <v/>
      </c>
      <c r="N197" s="5">
        <f>IF(H197="","",IFERROR(INDEX(Szabályok!$G$13:$G$200,MATCH(H197,Szabályok!$A$13:$A$200,0)),""))</f>
        <v/>
      </c>
      <c r="O197" s="5">
        <f>IF(H197="","",IFERROR(INDEX(Szabályok!$H$13:$H$200,MATCH(H197,Szabályok!$A$13:$A$200,0)),""))</f>
        <v/>
      </c>
      <c r="P197" s="5" t="n"/>
      <c r="Q197" s="6" t="n"/>
      <c r="R197" s="6" t="n"/>
      <c r="S197" s="6">
        <f>IF(COUNT(Q197:R197)=0,"",SUM(Q197:R197))</f>
        <v/>
      </c>
      <c r="T197" s="6" t="n"/>
      <c r="U197" s="5">
        <f>IF(T197="","",IF(L197&lt;&gt;"IGEN","IGEN",IF(S197&gt;=T197,"IGEN","NEM")))</f>
        <v/>
      </c>
      <c r="V197" s="5" t="n"/>
      <c r="W197" s="5" t="n"/>
      <c r="X197" s="5" t="n"/>
      <c r="Y197" s="5" t="n"/>
      <c r="Z197" s="5">
        <f>IF(X197="","",IF(COUNTIFS($X$5:$X$304,X197,$I$5:$I$304,"&lt;"&amp;I197)=0,I197,""))</f>
        <v/>
      </c>
      <c r="AA197" s="5">
        <f>IF(X197="","",IF(COUNTIFS($X$5:$X$304,X197,$I$5:$I$304,"&lt;"&amp;I197)&gt;0,"NEM",IF(COUNTIFS($X$5:$X$304,X197,$I$5:$I$304,I197)=1,"IGEN",IF(Y197=1,"IGEN","NEM"))))</f>
        <v/>
      </c>
      <c r="AB197" s="5">
        <f>IF(OR(I197="",J197=""),"",IF(OR(I197=0,V197="IGEN",W197="IGEN"),"X",IF(AND(K197&lt;&gt;"IGEN",L197="IGEN",U197="NEM"),"X",IF(AA197="IGEN",J197,"X"))))</f>
        <v/>
      </c>
      <c r="AC197" s="5">
        <f>IF(AB197="X",0,IF(D197="","",D197))</f>
        <v/>
      </c>
      <c r="AD197" s="5">
        <f>IF(AB197="X",IF(D197="","",D197),0)</f>
        <v/>
      </c>
      <c r="AE197" s="6" t="n"/>
      <c r="AF197" s="6">
        <f>IF(E197="","",SUMIFS($AI$5:AI197,$E$5:E197,E197)-AI197)</f>
        <v/>
      </c>
      <c r="AG197" s="6">
        <f>IF(AE197="","",MAX(0,AE197-AF197))</f>
        <v/>
      </c>
      <c r="AH197" s="6">
        <f>IF(S197="","",IF(OR(I197=0,V197="IGEN",W197="IGEN"),0,IF(AND(K197&lt;&gt;"IGEN",L197="IGEN",U197="NEM"),0,S197)))</f>
        <v/>
      </c>
      <c r="AI197" s="6">
        <f>IF(AH197="","",IF(M197="IGEN",MIN(AH197,AG197),AH197))</f>
        <v/>
      </c>
      <c r="AJ197" s="5" t="n"/>
    </row>
    <row r="198">
      <c r="A198" s="5" t="n"/>
      <c r="B198" s="5" t="n"/>
      <c r="C198" s="5" t="n"/>
      <c r="D198" s="5">
        <f>IF(AND(B198&lt;&gt;"",C198&lt;&gt;""),C198-B198+1,"")</f>
        <v/>
      </c>
      <c r="E198" s="5">
        <f>IF(B198&lt;&gt;"",YEAR(B198),"")</f>
        <v/>
      </c>
      <c r="F198" s="6" t="n"/>
      <c r="G198" s="6" t="n"/>
      <c r="H198" s="6" t="n"/>
      <c r="I198" s="5">
        <f>IF(H198="","",IFERROR(INDEX(Szabályok!$B$13:$B$200,MATCH(H198,Szabályok!$A$13:$A$200,0)),""))</f>
        <v/>
      </c>
      <c r="J198" s="5">
        <f>IF(H198="","",IFERROR(INDEX(Szabályok!$C$13:$C$200,MATCH(H198,Szabályok!$A$13:$A$200,0)),""))</f>
        <v/>
      </c>
      <c r="K198" s="5">
        <f>IF(H198="","",IFERROR(INDEX(Szabályok!$D$13:$D$200,MATCH(H198,Szabályok!$A$13:$A$200,0)),""))</f>
        <v/>
      </c>
      <c r="L198" s="5">
        <f>IF(H198="","",IFERROR(INDEX(Szabályok!$E$13:$E$200,MATCH(H198,Szabályok!$A$13:$A$200,0)),""))</f>
        <v/>
      </c>
      <c r="M198" s="5">
        <f>IF(H198="","",IFERROR(INDEX(Szabályok!$F$13:$F$200,MATCH(H198,Szabályok!$A$13:$A$200,0)),""))</f>
        <v/>
      </c>
      <c r="N198" s="5">
        <f>IF(H198="","",IFERROR(INDEX(Szabályok!$G$13:$G$200,MATCH(H198,Szabályok!$A$13:$A$200,0)),""))</f>
        <v/>
      </c>
      <c r="O198" s="5">
        <f>IF(H198="","",IFERROR(INDEX(Szabályok!$H$13:$H$200,MATCH(H198,Szabályok!$A$13:$A$200,0)),""))</f>
        <v/>
      </c>
      <c r="P198" s="5" t="n"/>
      <c r="Q198" s="6" t="n"/>
      <c r="R198" s="6" t="n"/>
      <c r="S198" s="6">
        <f>IF(COUNT(Q198:R198)=0,"",SUM(Q198:R198))</f>
        <v/>
      </c>
      <c r="T198" s="6" t="n"/>
      <c r="U198" s="5">
        <f>IF(T198="","",IF(L198&lt;&gt;"IGEN","IGEN",IF(S198&gt;=T198,"IGEN","NEM")))</f>
        <v/>
      </c>
      <c r="V198" s="5" t="n"/>
      <c r="W198" s="5" t="n"/>
      <c r="X198" s="5" t="n"/>
      <c r="Y198" s="5" t="n"/>
      <c r="Z198" s="5">
        <f>IF(X198="","",IF(COUNTIFS($X$5:$X$304,X198,$I$5:$I$304,"&lt;"&amp;I198)=0,I198,""))</f>
        <v/>
      </c>
      <c r="AA198" s="5">
        <f>IF(X198="","",IF(COUNTIFS($X$5:$X$304,X198,$I$5:$I$304,"&lt;"&amp;I198)&gt;0,"NEM",IF(COUNTIFS($X$5:$X$304,X198,$I$5:$I$304,I198)=1,"IGEN",IF(Y198=1,"IGEN","NEM"))))</f>
        <v/>
      </c>
      <c r="AB198" s="5">
        <f>IF(OR(I198="",J198=""),"",IF(OR(I198=0,V198="IGEN",W198="IGEN"),"X",IF(AND(K198&lt;&gt;"IGEN",L198="IGEN",U198="NEM"),"X",IF(AA198="IGEN",J198,"X"))))</f>
        <v/>
      </c>
      <c r="AC198" s="5">
        <f>IF(AB198="X",0,IF(D198="","",D198))</f>
        <v/>
      </c>
      <c r="AD198" s="5">
        <f>IF(AB198="X",IF(D198="","",D198),0)</f>
        <v/>
      </c>
      <c r="AE198" s="6" t="n"/>
      <c r="AF198" s="6">
        <f>IF(E198="","",SUMIFS($AI$5:AI198,$E$5:E198,E198)-AI198)</f>
        <v/>
      </c>
      <c r="AG198" s="6">
        <f>IF(AE198="","",MAX(0,AE198-AF198))</f>
        <v/>
      </c>
      <c r="AH198" s="6">
        <f>IF(S198="","",IF(OR(I198=0,V198="IGEN",W198="IGEN"),0,IF(AND(K198&lt;&gt;"IGEN",L198="IGEN",U198="NEM"),0,S198)))</f>
        <v/>
      </c>
      <c r="AI198" s="6">
        <f>IF(AH198="","",IF(M198="IGEN",MIN(AH198,AG198),AH198))</f>
        <v/>
      </c>
      <c r="AJ198" s="5" t="n"/>
    </row>
    <row r="199">
      <c r="A199" s="5" t="n"/>
      <c r="B199" s="5" t="n"/>
      <c r="C199" s="5" t="n"/>
      <c r="D199" s="5">
        <f>IF(AND(B199&lt;&gt;"",C199&lt;&gt;""),C199-B199+1,"")</f>
        <v/>
      </c>
      <c r="E199" s="5">
        <f>IF(B199&lt;&gt;"",YEAR(B199),"")</f>
        <v/>
      </c>
      <c r="F199" s="6" t="n"/>
      <c r="G199" s="6" t="n"/>
      <c r="H199" s="6" t="n"/>
      <c r="I199" s="5">
        <f>IF(H199="","",IFERROR(INDEX(Szabályok!$B$13:$B$200,MATCH(H199,Szabályok!$A$13:$A$200,0)),""))</f>
        <v/>
      </c>
      <c r="J199" s="5">
        <f>IF(H199="","",IFERROR(INDEX(Szabályok!$C$13:$C$200,MATCH(H199,Szabályok!$A$13:$A$200,0)),""))</f>
        <v/>
      </c>
      <c r="K199" s="5">
        <f>IF(H199="","",IFERROR(INDEX(Szabályok!$D$13:$D$200,MATCH(H199,Szabályok!$A$13:$A$200,0)),""))</f>
        <v/>
      </c>
      <c r="L199" s="5">
        <f>IF(H199="","",IFERROR(INDEX(Szabályok!$E$13:$E$200,MATCH(H199,Szabályok!$A$13:$A$200,0)),""))</f>
        <v/>
      </c>
      <c r="M199" s="5">
        <f>IF(H199="","",IFERROR(INDEX(Szabályok!$F$13:$F$200,MATCH(H199,Szabályok!$A$13:$A$200,0)),""))</f>
        <v/>
      </c>
      <c r="N199" s="5">
        <f>IF(H199="","",IFERROR(INDEX(Szabályok!$G$13:$G$200,MATCH(H199,Szabályok!$A$13:$A$200,0)),""))</f>
        <v/>
      </c>
      <c r="O199" s="5">
        <f>IF(H199="","",IFERROR(INDEX(Szabályok!$H$13:$H$200,MATCH(H199,Szabályok!$A$13:$A$200,0)),""))</f>
        <v/>
      </c>
      <c r="P199" s="5" t="n"/>
      <c r="Q199" s="6" t="n"/>
      <c r="R199" s="6" t="n"/>
      <c r="S199" s="6">
        <f>IF(COUNT(Q199:R199)=0,"",SUM(Q199:R199))</f>
        <v/>
      </c>
      <c r="T199" s="6" t="n"/>
      <c r="U199" s="5">
        <f>IF(T199="","",IF(L199&lt;&gt;"IGEN","IGEN",IF(S199&gt;=T199,"IGEN","NEM")))</f>
        <v/>
      </c>
      <c r="V199" s="5" t="n"/>
      <c r="W199" s="5" t="n"/>
      <c r="X199" s="5" t="n"/>
      <c r="Y199" s="5" t="n"/>
      <c r="Z199" s="5">
        <f>IF(X199="","",IF(COUNTIFS($X$5:$X$304,X199,$I$5:$I$304,"&lt;"&amp;I199)=0,I199,""))</f>
        <v/>
      </c>
      <c r="AA199" s="5">
        <f>IF(X199="","",IF(COUNTIFS($X$5:$X$304,X199,$I$5:$I$304,"&lt;"&amp;I199)&gt;0,"NEM",IF(COUNTIFS($X$5:$X$304,X199,$I$5:$I$304,I199)=1,"IGEN",IF(Y199=1,"IGEN","NEM"))))</f>
        <v/>
      </c>
      <c r="AB199" s="5">
        <f>IF(OR(I199="",J199=""),"",IF(OR(I199=0,V199="IGEN",W199="IGEN"),"X",IF(AND(K199&lt;&gt;"IGEN",L199="IGEN",U199="NEM"),"X",IF(AA199="IGEN",J199,"X"))))</f>
        <v/>
      </c>
      <c r="AC199" s="5">
        <f>IF(AB199="X",0,IF(D199="","",D199))</f>
        <v/>
      </c>
      <c r="AD199" s="5">
        <f>IF(AB199="X",IF(D199="","",D199),0)</f>
        <v/>
      </c>
      <c r="AE199" s="6" t="n"/>
      <c r="AF199" s="6">
        <f>IF(E199="","",SUMIFS($AI$5:AI199,$E$5:E199,E199)-AI199)</f>
        <v/>
      </c>
      <c r="AG199" s="6">
        <f>IF(AE199="","",MAX(0,AE199-AF199))</f>
        <v/>
      </c>
      <c r="AH199" s="6">
        <f>IF(S199="","",IF(OR(I199=0,V199="IGEN",W199="IGEN"),0,IF(AND(K199&lt;&gt;"IGEN",L199="IGEN",U199="NEM"),0,S199)))</f>
        <v/>
      </c>
      <c r="AI199" s="6">
        <f>IF(AH199="","",IF(M199="IGEN",MIN(AH199,AG199),AH199))</f>
        <v/>
      </c>
      <c r="AJ199" s="5" t="n"/>
    </row>
    <row r="200">
      <c r="A200" s="5" t="n"/>
      <c r="B200" s="5" t="n"/>
      <c r="C200" s="5" t="n"/>
      <c r="D200" s="5">
        <f>IF(AND(B200&lt;&gt;"",C200&lt;&gt;""),C200-B200+1,"")</f>
        <v/>
      </c>
      <c r="E200" s="5">
        <f>IF(B200&lt;&gt;"",YEAR(B200),"")</f>
        <v/>
      </c>
      <c r="F200" s="6" t="n"/>
      <c r="G200" s="6" t="n"/>
      <c r="H200" s="6" t="n"/>
      <c r="I200" s="5">
        <f>IF(H200="","",IFERROR(INDEX(Szabályok!$B$13:$B$200,MATCH(H200,Szabályok!$A$13:$A$200,0)),""))</f>
        <v/>
      </c>
      <c r="J200" s="5">
        <f>IF(H200="","",IFERROR(INDEX(Szabályok!$C$13:$C$200,MATCH(H200,Szabályok!$A$13:$A$200,0)),""))</f>
        <v/>
      </c>
      <c r="K200" s="5">
        <f>IF(H200="","",IFERROR(INDEX(Szabályok!$D$13:$D$200,MATCH(H200,Szabályok!$A$13:$A$200,0)),""))</f>
        <v/>
      </c>
      <c r="L200" s="5">
        <f>IF(H200="","",IFERROR(INDEX(Szabályok!$E$13:$E$200,MATCH(H200,Szabályok!$A$13:$A$200,0)),""))</f>
        <v/>
      </c>
      <c r="M200" s="5">
        <f>IF(H200="","",IFERROR(INDEX(Szabályok!$F$13:$F$200,MATCH(H200,Szabályok!$A$13:$A$200,0)),""))</f>
        <v/>
      </c>
      <c r="N200" s="5">
        <f>IF(H200="","",IFERROR(INDEX(Szabályok!$G$13:$G$200,MATCH(H200,Szabályok!$A$13:$A$200,0)),""))</f>
        <v/>
      </c>
      <c r="O200" s="5">
        <f>IF(H200="","",IFERROR(INDEX(Szabályok!$H$13:$H$200,MATCH(H200,Szabályok!$A$13:$A$200,0)),""))</f>
        <v/>
      </c>
      <c r="P200" s="5" t="n"/>
      <c r="Q200" s="6" t="n"/>
      <c r="R200" s="6" t="n"/>
      <c r="S200" s="6">
        <f>IF(COUNT(Q200:R200)=0,"",SUM(Q200:R200))</f>
        <v/>
      </c>
      <c r="T200" s="6" t="n"/>
      <c r="U200" s="5">
        <f>IF(T200="","",IF(L200&lt;&gt;"IGEN","IGEN",IF(S200&gt;=T200,"IGEN","NEM")))</f>
        <v/>
      </c>
      <c r="V200" s="5" t="n"/>
      <c r="W200" s="5" t="n"/>
      <c r="X200" s="5" t="n"/>
      <c r="Y200" s="5" t="n"/>
      <c r="Z200" s="5">
        <f>IF(X200="","",IF(COUNTIFS($X$5:$X$304,X200,$I$5:$I$304,"&lt;"&amp;I200)=0,I200,""))</f>
        <v/>
      </c>
      <c r="AA200" s="5">
        <f>IF(X200="","",IF(COUNTIFS($X$5:$X$304,X200,$I$5:$I$304,"&lt;"&amp;I200)&gt;0,"NEM",IF(COUNTIFS($X$5:$X$304,X200,$I$5:$I$304,I200)=1,"IGEN",IF(Y200=1,"IGEN","NEM"))))</f>
        <v/>
      </c>
      <c r="AB200" s="5">
        <f>IF(OR(I200="",J200=""),"",IF(OR(I200=0,V200="IGEN",W200="IGEN"),"X",IF(AND(K200&lt;&gt;"IGEN",L200="IGEN",U200="NEM"),"X",IF(AA200="IGEN",J200,"X"))))</f>
        <v/>
      </c>
      <c r="AC200" s="5">
        <f>IF(AB200="X",0,IF(D200="","",D200))</f>
        <v/>
      </c>
      <c r="AD200" s="5">
        <f>IF(AB200="X",IF(D200="","",D200),0)</f>
        <v/>
      </c>
      <c r="AE200" s="6" t="n"/>
      <c r="AF200" s="6">
        <f>IF(E200="","",SUMIFS($AI$5:AI200,$E$5:E200,E200)-AI200)</f>
        <v/>
      </c>
      <c r="AG200" s="6">
        <f>IF(AE200="","",MAX(0,AE200-AF200))</f>
        <v/>
      </c>
      <c r="AH200" s="6">
        <f>IF(S200="","",IF(OR(I200=0,V200="IGEN",W200="IGEN"),0,IF(AND(K200&lt;&gt;"IGEN",L200="IGEN",U200="NEM"),0,S200)))</f>
        <v/>
      </c>
      <c r="AI200" s="6">
        <f>IF(AH200="","",IF(M200="IGEN",MIN(AH200,AG200),AH200))</f>
        <v/>
      </c>
      <c r="AJ200" s="5" t="n"/>
    </row>
    <row r="201">
      <c r="A201" s="5" t="n"/>
      <c r="B201" s="5" t="n"/>
      <c r="C201" s="5" t="n"/>
      <c r="D201" s="5">
        <f>IF(AND(B201&lt;&gt;"",C201&lt;&gt;""),C201-B201+1,"")</f>
        <v/>
      </c>
      <c r="E201" s="5">
        <f>IF(B201&lt;&gt;"",YEAR(B201),"")</f>
        <v/>
      </c>
      <c r="F201" s="6" t="n"/>
      <c r="G201" s="6" t="n"/>
      <c r="H201" s="6" t="n"/>
      <c r="I201" s="5">
        <f>IF(H201="","",IFERROR(INDEX(Szabályok!$B$13:$B$200,MATCH(H201,Szabályok!$A$13:$A$200,0)),""))</f>
        <v/>
      </c>
      <c r="J201" s="5">
        <f>IF(H201="","",IFERROR(INDEX(Szabályok!$C$13:$C$200,MATCH(H201,Szabályok!$A$13:$A$200,0)),""))</f>
        <v/>
      </c>
      <c r="K201" s="5">
        <f>IF(H201="","",IFERROR(INDEX(Szabályok!$D$13:$D$200,MATCH(H201,Szabályok!$A$13:$A$200,0)),""))</f>
        <v/>
      </c>
      <c r="L201" s="5">
        <f>IF(H201="","",IFERROR(INDEX(Szabályok!$E$13:$E$200,MATCH(H201,Szabályok!$A$13:$A$200,0)),""))</f>
        <v/>
      </c>
      <c r="M201" s="5">
        <f>IF(H201="","",IFERROR(INDEX(Szabályok!$F$13:$F$200,MATCH(H201,Szabályok!$A$13:$A$200,0)),""))</f>
        <v/>
      </c>
      <c r="N201" s="5">
        <f>IF(H201="","",IFERROR(INDEX(Szabályok!$G$13:$G$200,MATCH(H201,Szabályok!$A$13:$A$200,0)),""))</f>
        <v/>
      </c>
      <c r="O201" s="5">
        <f>IF(H201="","",IFERROR(INDEX(Szabályok!$H$13:$H$200,MATCH(H201,Szabályok!$A$13:$A$200,0)),""))</f>
        <v/>
      </c>
      <c r="P201" s="5" t="n"/>
      <c r="Q201" s="6" t="n"/>
      <c r="R201" s="6" t="n"/>
      <c r="S201" s="6">
        <f>IF(COUNT(Q201:R201)=0,"",SUM(Q201:R201))</f>
        <v/>
      </c>
      <c r="T201" s="6" t="n"/>
      <c r="U201" s="5">
        <f>IF(T201="","",IF(L201&lt;&gt;"IGEN","IGEN",IF(S201&gt;=T201,"IGEN","NEM")))</f>
        <v/>
      </c>
      <c r="V201" s="5" t="n"/>
      <c r="W201" s="5" t="n"/>
      <c r="X201" s="5" t="n"/>
      <c r="Y201" s="5" t="n"/>
      <c r="Z201" s="5">
        <f>IF(X201="","",IF(COUNTIFS($X$5:$X$304,X201,$I$5:$I$304,"&lt;"&amp;I201)=0,I201,""))</f>
        <v/>
      </c>
      <c r="AA201" s="5">
        <f>IF(X201="","",IF(COUNTIFS($X$5:$X$304,X201,$I$5:$I$304,"&lt;"&amp;I201)&gt;0,"NEM",IF(COUNTIFS($X$5:$X$304,X201,$I$5:$I$304,I201)=1,"IGEN",IF(Y201=1,"IGEN","NEM"))))</f>
        <v/>
      </c>
      <c r="AB201" s="5">
        <f>IF(OR(I201="",J201=""),"",IF(OR(I201=0,V201="IGEN",W201="IGEN"),"X",IF(AND(K201&lt;&gt;"IGEN",L201="IGEN",U201="NEM"),"X",IF(AA201="IGEN",J201,"X"))))</f>
        <v/>
      </c>
      <c r="AC201" s="5">
        <f>IF(AB201="X",0,IF(D201="","",D201))</f>
        <v/>
      </c>
      <c r="AD201" s="5">
        <f>IF(AB201="X",IF(D201="","",D201),0)</f>
        <v/>
      </c>
      <c r="AE201" s="6" t="n"/>
      <c r="AF201" s="6">
        <f>IF(E201="","",SUMIFS($AI$5:AI201,$E$5:E201,E201)-AI201)</f>
        <v/>
      </c>
      <c r="AG201" s="6">
        <f>IF(AE201="","",MAX(0,AE201-AF201))</f>
        <v/>
      </c>
      <c r="AH201" s="6">
        <f>IF(S201="","",IF(OR(I201=0,V201="IGEN",W201="IGEN"),0,IF(AND(K201&lt;&gt;"IGEN",L201="IGEN",U201="NEM"),0,S201)))</f>
        <v/>
      </c>
      <c r="AI201" s="6">
        <f>IF(AH201="","",IF(M201="IGEN",MIN(AH201,AG201),AH201))</f>
        <v/>
      </c>
      <c r="AJ201" s="5" t="n"/>
    </row>
    <row r="202">
      <c r="A202" s="5" t="n"/>
      <c r="B202" s="5" t="n"/>
      <c r="C202" s="5" t="n"/>
      <c r="D202" s="5">
        <f>IF(AND(B202&lt;&gt;"",C202&lt;&gt;""),C202-B202+1,"")</f>
        <v/>
      </c>
      <c r="E202" s="5">
        <f>IF(B202&lt;&gt;"",YEAR(B202),"")</f>
        <v/>
      </c>
      <c r="F202" s="6" t="n"/>
      <c r="G202" s="6" t="n"/>
      <c r="H202" s="6" t="n"/>
      <c r="I202" s="5">
        <f>IF(H202="","",IFERROR(INDEX(Szabályok!$B$13:$B$200,MATCH(H202,Szabályok!$A$13:$A$200,0)),""))</f>
        <v/>
      </c>
      <c r="J202" s="5">
        <f>IF(H202="","",IFERROR(INDEX(Szabályok!$C$13:$C$200,MATCH(H202,Szabályok!$A$13:$A$200,0)),""))</f>
        <v/>
      </c>
      <c r="K202" s="5">
        <f>IF(H202="","",IFERROR(INDEX(Szabályok!$D$13:$D$200,MATCH(H202,Szabályok!$A$13:$A$200,0)),""))</f>
        <v/>
      </c>
      <c r="L202" s="5">
        <f>IF(H202="","",IFERROR(INDEX(Szabályok!$E$13:$E$200,MATCH(H202,Szabályok!$A$13:$A$200,0)),""))</f>
        <v/>
      </c>
      <c r="M202" s="5">
        <f>IF(H202="","",IFERROR(INDEX(Szabályok!$F$13:$F$200,MATCH(H202,Szabályok!$A$13:$A$200,0)),""))</f>
        <v/>
      </c>
      <c r="N202" s="5">
        <f>IF(H202="","",IFERROR(INDEX(Szabályok!$G$13:$G$200,MATCH(H202,Szabályok!$A$13:$A$200,0)),""))</f>
        <v/>
      </c>
      <c r="O202" s="5">
        <f>IF(H202="","",IFERROR(INDEX(Szabályok!$H$13:$H$200,MATCH(H202,Szabályok!$A$13:$A$200,0)),""))</f>
        <v/>
      </c>
      <c r="P202" s="5" t="n"/>
      <c r="Q202" s="6" t="n"/>
      <c r="R202" s="6" t="n"/>
      <c r="S202" s="6">
        <f>IF(COUNT(Q202:R202)=0,"",SUM(Q202:R202))</f>
        <v/>
      </c>
      <c r="T202" s="6" t="n"/>
      <c r="U202" s="5">
        <f>IF(T202="","",IF(L202&lt;&gt;"IGEN","IGEN",IF(S202&gt;=T202,"IGEN","NEM")))</f>
        <v/>
      </c>
      <c r="V202" s="5" t="n"/>
      <c r="W202" s="5" t="n"/>
      <c r="X202" s="5" t="n"/>
      <c r="Y202" s="5" t="n"/>
      <c r="Z202" s="5">
        <f>IF(X202="","",IF(COUNTIFS($X$5:$X$304,X202,$I$5:$I$304,"&lt;"&amp;I202)=0,I202,""))</f>
        <v/>
      </c>
      <c r="AA202" s="5">
        <f>IF(X202="","",IF(COUNTIFS($X$5:$X$304,X202,$I$5:$I$304,"&lt;"&amp;I202)&gt;0,"NEM",IF(COUNTIFS($X$5:$X$304,X202,$I$5:$I$304,I202)=1,"IGEN",IF(Y202=1,"IGEN","NEM"))))</f>
        <v/>
      </c>
      <c r="AB202" s="5">
        <f>IF(OR(I202="",J202=""),"",IF(OR(I202=0,V202="IGEN",W202="IGEN"),"X",IF(AND(K202&lt;&gt;"IGEN",L202="IGEN",U202="NEM"),"X",IF(AA202="IGEN",J202,"X"))))</f>
        <v/>
      </c>
      <c r="AC202" s="5">
        <f>IF(AB202="X",0,IF(D202="","",D202))</f>
        <v/>
      </c>
      <c r="AD202" s="5">
        <f>IF(AB202="X",IF(D202="","",D202),0)</f>
        <v/>
      </c>
      <c r="AE202" s="6" t="n"/>
      <c r="AF202" s="6">
        <f>IF(E202="","",SUMIFS($AI$5:AI202,$E$5:E202,E202)-AI202)</f>
        <v/>
      </c>
      <c r="AG202" s="6">
        <f>IF(AE202="","",MAX(0,AE202-AF202))</f>
        <v/>
      </c>
      <c r="AH202" s="6">
        <f>IF(S202="","",IF(OR(I202=0,V202="IGEN",W202="IGEN"),0,IF(AND(K202&lt;&gt;"IGEN",L202="IGEN",U202="NEM"),0,S202)))</f>
        <v/>
      </c>
      <c r="AI202" s="6">
        <f>IF(AH202="","",IF(M202="IGEN",MIN(AH202,AG202),AH202))</f>
        <v/>
      </c>
      <c r="AJ202" s="5" t="n"/>
    </row>
    <row r="203">
      <c r="A203" s="5" t="n"/>
      <c r="B203" s="5" t="n"/>
      <c r="C203" s="5" t="n"/>
      <c r="D203" s="5">
        <f>IF(AND(B203&lt;&gt;"",C203&lt;&gt;""),C203-B203+1,"")</f>
        <v/>
      </c>
      <c r="E203" s="5">
        <f>IF(B203&lt;&gt;"",YEAR(B203),"")</f>
        <v/>
      </c>
      <c r="F203" s="6" t="n"/>
      <c r="G203" s="6" t="n"/>
      <c r="H203" s="6" t="n"/>
      <c r="I203" s="5">
        <f>IF(H203="","",IFERROR(INDEX(Szabályok!$B$13:$B$200,MATCH(H203,Szabályok!$A$13:$A$200,0)),""))</f>
        <v/>
      </c>
      <c r="J203" s="5">
        <f>IF(H203="","",IFERROR(INDEX(Szabályok!$C$13:$C$200,MATCH(H203,Szabályok!$A$13:$A$200,0)),""))</f>
        <v/>
      </c>
      <c r="K203" s="5">
        <f>IF(H203="","",IFERROR(INDEX(Szabályok!$D$13:$D$200,MATCH(H203,Szabályok!$A$13:$A$200,0)),""))</f>
        <v/>
      </c>
      <c r="L203" s="5">
        <f>IF(H203="","",IFERROR(INDEX(Szabályok!$E$13:$E$200,MATCH(H203,Szabályok!$A$13:$A$200,0)),""))</f>
        <v/>
      </c>
      <c r="M203" s="5">
        <f>IF(H203="","",IFERROR(INDEX(Szabályok!$F$13:$F$200,MATCH(H203,Szabályok!$A$13:$A$200,0)),""))</f>
        <v/>
      </c>
      <c r="N203" s="5">
        <f>IF(H203="","",IFERROR(INDEX(Szabályok!$G$13:$G$200,MATCH(H203,Szabályok!$A$13:$A$200,0)),""))</f>
        <v/>
      </c>
      <c r="O203" s="5">
        <f>IF(H203="","",IFERROR(INDEX(Szabályok!$H$13:$H$200,MATCH(H203,Szabályok!$A$13:$A$200,0)),""))</f>
        <v/>
      </c>
      <c r="P203" s="5" t="n"/>
      <c r="Q203" s="6" t="n"/>
      <c r="R203" s="6" t="n"/>
      <c r="S203" s="6">
        <f>IF(COUNT(Q203:R203)=0,"",SUM(Q203:R203))</f>
        <v/>
      </c>
      <c r="T203" s="6" t="n"/>
      <c r="U203" s="5">
        <f>IF(T203="","",IF(L203&lt;&gt;"IGEN","IGEN",IF(S203&gt;=T203,"IGEN","NEM")))</f>
        <v/>
      </c>
      <c r="V203" s="5" t="n"/>
      <c r="W203" s="5" t="n"/>
      <c r="X203" s="5" t="n"/>
      <c r="Y203" s="5" t="n"/>
      <c r="Z203" s="5">
        <f>IF(X203="","",IF(COUNTIFS($X$5:$X$304,X203,$I$5:$I$304,"&lt;"&amp;I203)=0,I203,""))</f>
        <v/>
      </c>
      <c r="AA203" s="5">
        <f>IF(X203="","",IF(COUNTIFS($X$5:$X$304,X203,$I$5:$I$304,"&lt;"&amp;I203)&gt;0,"NEM",IF(COUNTIFS($X$5:$X$304,X203,$I$5:$I$304,I203)=1,"IGEN",IF(Y203=1,"IGEN","NEM"))))</f>
        <v/>
      </c>
      <c r="AB203" s="5">
        <f>IF(OR(I203="",J203=""),"",IF(OR(I203=0,V203="IGEN",W203="IGEN"),"X",IF(AND(K203&lt;&gt;"IGEN",L203="IGEN",U203="NEM"),"X",IF(AA203="IGEN",J203,"X"))))</f>
        <v/>
      </c>
      <c r="AC203" s="5">
        <f>IF(AB203="X",0,IF(D203="","",D203))</f>
        <v/>
      </c>
      <c r="AD203" s="5">
        <f>IF(AB203="X",IF(D203="","",D203),0)</f>
        <v/>
      </c>
      <c r="AE203" s="6" t="n"/>
      <c r="AF203" s="6">
        <f>IF(E203="","",SUMIFS($AI$5:AI203,$E$5:E203,E203)-AI203)</f>
        <v/>
      </c>
      <c r="AG203" s="6">
        <f>IF(AE203="","",MAX(0,AE203-AF203))</f>
        <v/>
      </c>
      <c r="AH203" s="6">
        <f>IF(S203="","",IF(OR(I203=0,V203="IGEN",W203="IGEN"),0,IF(AND(K203&lt;&gt;"IGEN",L203="IGEN",U203="NEM"),0,S203)))</f>
        <v/>
      </c>
      <c r="AI203" s="6">
        <f>IF(AH203="","",IF(M203="IGEN",MIN(AH203,AG203),AH203))</f>
        <v/>
      </c>
      <c r="AJ203" s="5" t="n"/>
    </row>
    <row r="204">
      <c r="A204" s="5" t="n"/>
      <c r="B204" s="5" t="n"/>
      <c r="C204" s="5" t="n"/>
      <c r="D204" s="5">
        <f>IF(AND(B204&lt;&gt;"",C204&lt;&gt;""),C204-B204+1,"")</f>
        <v/>
      </c>
      <c r="E204" s="5">
        <f>IF(B204&lt;&gt;"",YEAR(B204),"")</f>
        <v/>
      </c>
      <c r="F204" s="6" t="n"/>
      <c r="G204" s="6" t="n"/>
      <c r="H204" s="6" t="n"/>
      <c r="I204" s="5">
        <f>IF(H204="","",IFERROR(INDEX(Szabályok!$B$13:$B$200,MATCH(H204,Szabályok!$A$13:$A$200,0)),""))</f>
        <v/>
      </c>
      <c r="J204" s="5">
        <f>IF(H204="","",IFERROR(INDEX(Szabályok!$C$13:$C$200,MATCH(H204,Szabályok!$A$13:$A$200,0)),""))</f>
        <v/>
      </c>
      <c r="K204" s="5">
        <f>IF(H204="","",IFERROR(INDEX(Szabályok!$D$13:$D$200,MATCH(H204,Szabályok!$A$13:$A$200,0)),""))</f>
        <v/>
      </c>
      <c r="L204" s="5">
        <f>IF(H204="","",IFERROR(INDEX(Szabályok!$E$13:$E$200,MATCH(H204,Szabályok!$A$13:$A$200,0)),""))</f>
        <v/>
      </c>
      <c r="M204" s="5">
        <f>IF(H204="","",IFERROR(INDEX(Szabályok!$F$13:$F$200,MATCH(H204,Szabályok!$A$13:$A$200,0)),""))</f>
        <v/>
      </c>
      <c r="N204" s="5">
        <f>IF(H204="","",IFERROR(INDEX(Szabályok!$G$13:$G$200,MATCH(H204,Szabályok!$A$13:$A$200,0)),""))</f>
        <v/>
      </c>
      <c r="O204" s="5">
        <f>IF(H204="","",IFERROR(INDEX(Szabályok!$H$13:$H$200,MATCH(H204,Szabályok!$A$13:$A$200,0)),""))</f>
        <v/>
      </c>
      <c r="P204" s="5" t="n"/>
      <c r="Q204" s="6" t="n"/>
      <c r="R204" s="6" t="n"/>
      <c r="S204" s="6">
        <f>IF(COUNT(Q204:R204)=0,"",SUM(Q204:R204))</f>
        <v/>
      </c>
      <c r="T204" s="6" t="n"/>
      <c r="U204" s="5">
        <f>IF(T204="","",IF(L204&lt;&gt;"IGEN","IGEN",IF(S204&gt;=T204,"IGEN","NEM")))</f>
        <v/>
      </c>
      <c r="V204" s="5" t="n"/>
      <c r="W204" s="5" t="n"/>
      <c r="X204" s="5" t="n"/>
      <c r="Y204" s="5" t="n"/>
      <c r="Z204" s="5">
        <f>IF(X204="","",IF(COUNTIFS($X$5:$X$304,X204,$I$5:$I$304,"&lt;"&amp;I204)=0,I204,""))</f>
        <v/>
      </c>
      <c r="AA204" s="5">
        <f>IF(X204="","",IF(COUNTIFS($X$5:$X$304,X204,$I$5:$I$304,"&lt;"&amp;I204)&gt;0,"NEM",IF(COUNTIFS($X$5:$X$304,X204,$I$5:$I$304,I204)=1,"IGEN",IF(Y204=1,"IGEN","NEM"))))</f>
        <v/>
      </c>
      <c r="AB204" s="5">
        <f>IF(OR(I204="",J204=""),"",IF(OR(I204=0,V204="IGEN",W204="IGEN"),"X",IF(AND(K204&lt;&gt;"IGEN",L204="IGEN",U204="NEM"),"X",IF(AA204="IGEN",J204,"X"))))</f>
        <v/>
      </c>
      <c r="AC204" s="5">
        <f>IF(AB204="X",0,IF(D204="","",D204))</f>
        <v/>
      </c>
      <c r="AD204" s="5">
        <f>IF(AB204="X",IF(D204="","",D204),0)</f>
        <v/>
      </c>
      <c r="AE204" s="6" t="n"/>
      <c r="AF204" s="6">
        <f>IF(E204="","",SUMIFS($AI$5:AI204,$E$5:E204,E204)-AI204)</f>
        <v/>
      </c>
      <c r="AG204" s="6">
        <f>IF(AE204="","",MAX(0,AE204-AF204))</f>
        <v/>
      </c>
      <c r="AH204" s="6">
        <f>IF(S204="","",IF(OR(I204=0,V204="IGEN",W204="IGEN"),0,IF(AND(K204&lt;&gt;"IGEN",L204="IGEN",U204="NEM"),0,S204)))</f>
        <v/>
      </c>
      <c r="AI204" s="6">
        <f>IF(AH204="","",IF(M204="IGEN",MIN(AH204,AG204),AH204))</f>
        <v/>
      </c>
      <c r="AJ204" s="5" t="n"/>
    </row>
    <row r="205">
      <c r="A205" s="5" t="n"/>
      <c r="B205" s="5" t="n"/>
      <c r="C205" s="5" t="n"/>
      <c r="D205" s="5">
        <f>IF(AND(B205&lt;&gt;"",C205&lt;&gt;""),C205-B205+1,"")</f>
        <v/>
      </c>
      <c r="E205" s="5">
        <f>IF(B205&lt;&gt;"",YEAR(B205),"")</f>
        <v/>
      </c>
      <c r="F205" s="6" t="n"/>
      <c r="G205" s="6" t="n"/>
      <c r="H205" s="6" t="n"/>
      <c r="I205" s="5">
        <f>IF(H205="","",IFERROR(INDEX(Szabályok!$B$13:$B$200,MATCH(H205,Szabályok!$A$13:$A$200,0)),""))</f>
        <v/>
      </c>
      <c r="J205" s="5">
        <f>IF(H205="","",IFERROR(INDEX(Szabályok!$C$13:$C$200,MATCH(H205,Szabályok!$A$13:$A$200,0)),""))</f>
        <v/>
      </c>
      <c r="K205" s="5">
        <f>IF(H205="","",IFERROR(INDEX(Szabályok!$D$13:$D$200,MATCH(H205,Szabályok!$A$13:$A$200,0)),""))</f>
        <v/>
      </c>
      <c r="L205" s="5">
        <f>IF(H205="","",IFERROR(INDEX(Szabályok!$E$13:$E$200,MATCH(H205,Szabályok!$A$13:$A$200,0)),""))</f>
        <v/>
      </c>
      <c r="M205" s="5">
        <f>IF(H205="","",IFERROR(INDEX(Szabályok!$F$13:$F$200,MATCH(H205,Szabályok!$A$13:$A$200,0)),""))</f>
        <v/>
      </c>
      <c r="N205" s="5">
        <f>IF(H205="","",IFERROR(INDEX(Szabályok!$G$13:$G$200,MATCH(H205,Szabályok!$A$13:$A$200,0)),""))</f>
        <v/>
      </c>
      <c r="O205" s="5">
        <f>IF(H205="","",IFERROR(INDEX(Szabályok!$H$13:$H$200,MATCH(H205,Szabályok!$A$13:$A$200,0)),""))</f>
        <v/>
      </c>
      <c r="P205" s="5" t="n"/>
      <c r="Q205" s="6" t="n"/>
      <c r="R205" s="6" t="n"/>
      <c r="S205" s="6">
        <f>IF(COUNT(Q205:R205)=0,"",SUM(Q205:R205))</f>
        <v/>
      </c>
      <c r="T205" s="6" t="n"/>
      <c r="U205" s="5">
        <f>IF(T205="","",IF(L205&lt;&gt;"IGEN","IGEN",IF(S205&gt;=T205,"IGEN","NEM")))</f>
        <v/>
      </c>
      <c r="V205" s="5" t="n"/>
      <c r="W205" s="5" t="n"/>
      <c r="X205" s="5" t="n"/>
      <c r="Y205" s="5" t="n"/>
      <c r="Z205" s="5">
        <f>IF(X205="","",IF(COUNTIFS($X$5:$X$304,X205,$I$5:$I$304,"&lt;"&amp;I205)=0,I205,""))</f>
        <v/>
      </c>
      <c r="AA205" s="5">
        <f>IF(X205="","",IF(COUNTIFS($X$5:$X$304,X205,$I$5:$I$304,"&lt;"&amp;I205)&gt;0,"NEM",IF(COUNTIFS($X$5:$X$304,X205,$I$5:$I$304,I205)=1,"IGEN",IF(Y205=1,"IGEN","NEM"))))</f>
        <v/>
      </c>
      <c r="AB205" s="5">
        <f>IF(OR(I205="",J205=""),"",IF(OR(I205=0,V205="IGEN",W205="IGEN"),"X",IF(AND(K205&lt;&gt;"IGEN",L205="IGEN",U205="NEM"),"X",IF(AA205="IGEN",J205,"X"))))</f>
        <v/>
      </c>
      <c r="AC205" s="5">
        <f>IF(AB205="X",0,IF(D205="","",D205))</f>
        <v/>
      </c>
      <c r="AD205" s="5">
        <f>IF(AB205="X",IF(D205="","",D205),0)</f>
        <v/>
      </c>
      <c r="AE205" s="6" t="n"/>
      <c r="AF205" s="6">
        <f>IF(E205="","",SUMIFS($AI$5:AI205,$E$5:E205,E205)-AI205)</f>
        <v/>
      </c>
      <c r="AG205" s="6">
        <f>IF(AE205="","",MAX(0,AE205-AF205))</f>
        <v/>
      </c>
      <c r="AH205" s="6">
        <f>IF(S205="","",IF(OR(I205=0,V205="IGEN",W205="IGEN"),0,IF(AND(K205&lt;&gt;"IGEN",L205="IGEN",U205="NEM"),0,S205)))</f>
        <v/>
      </c>
      <c r="AI205" s="6">
        <f>IF(AH205="","",IF(M205="IGEN",MIN(AH205,AG205),AH205))</f>
        <v/>
      </c>
      <c r="AJ205" s="5" t="n"/>
    </row>
    <row r="206">
      <c r="A206" s="5" t="n"/>
      <c r="B206" s="5" t="n"/>
      <c r="C206" s="5" t="n"/>
      <c r="D206" s="5">
        <f>IF(AND(B206&lt;&gt;"",C206&lt;&gt;""),C206-B206+1,"")</f>
        <v/>
      </c>
      <c r="E206" s="5">
        <f>IF(B206&lt;&gt;"",YEAR(B206),"")</f>
        <v/>
      </c>
      <c r="F206" s="6" t="n"/>
      <c r="G206" s="6" t="n"/>
      <c r="H206" s="6" t="n"/>
      <c r="I206" s="5">
        <f>IF(H206="","",IFERROR(INDEX(Szabályok!$B$13:$B$200,MATCH(H206,Szabályok!$A$13:$A$200,0)),""))</f>
        <v/>
      </c>
      <c r="J206" s="5">
        <f>IF(H206="","",IFERROR(INDEX(Szabályok!$C$13:$C$200,MATCH(H206,Szabályok!$A$13:$A$200,0)),""))</f>
        <v/>
      </c>
      <c r="K206" s="5">
        <f>IF(H206="","",IFERROR(INDEX(Szabályok!$D$13:$D$200,MATCH(H206,Szabályok!$A$13:$A$200,0)),""))</f>
        <v/>
      </c>
      <c r="L206" s="5">
        <f>IF(H206="","",IFERROR(INDEX(Szabályok!$E$13:$E$200,MATCH(H206,Szabályok!$A$13:$A$200,0)),""))</f>
        <v/>
      </c>
      <c r="M206" s="5">
        <f>IF(H206="","",IFERROR(INDEX(Szabályok!$F$13:$F$200,MATCH(H206,Szabályok!$A$13:$A$200,0)),""))</f>
        <v/>
      </c>
      <c r="N206" s="5">
        <f>IF(H206="","",IFERROR(INDEX(Szabályok!$G$13:$G$200,MATCH(H206,Szabályok!$A$13:$A$200,0)),""))</f>
        <v/>
      </c>
      <c r="O206" s="5">
        <f>IF(H206="","",IFERROR(INDEX(Szabályok!$H$13:$H$200,MATCH(H206,Szabályok!$A$13:$A$200,0)),""))</f>
        <v/>
      </c>
      <c r="P206" s="5" t="n"/>
      <c r="Q206" s="6" t="n"/>
      <c r="R206" s="6" t="n"/>
      <c r="S206" s="6">
        <f>IF(COUNT(Q206:R206)=0,"",SUM(Q206:R206))</f>
        <v/>
      </c>
      <c r="T206" s="6" t="n"/>
      <c r="U206" s="5">
        <f>IF(T206="","",IF(L206&lt;&gt;"IGEN","IGEN",IF(S206&gt;=T206,"IGEN","NEM")))</f>
        <v/>
      </c>
      <c r="V206" s="5" t="n"/>
      <c r="W206" s="5" t="n"/>
      <c r="X206" s="5" t="n"/>
      <c r="Y206" s="5" t="n"/>
      <c r="Z206" s="5">
        <f>IF(X206="","",IF(COUNTIFS($X$5:$X$304,X206,$I$5:$I$304,"&lt;"&amp;I206)=0,I206,""))</f>
        <v/>
      </c>
      <c r="AA206" s="5">
        <f>IF(X206="","",IF(COUNTIFS($X$5:$X$304,X206,$I$5:$I$304,"&lt;"&amp;I206)&gt;0,"NEM",IF(COUNTIFS($X$5:$X$304,X206,$I$5:$I$304,I206)=1,"IGEN",IF(Y206=1,"IGEN","NEM"))))</f>
        <v/>
      </c>
      <c r="AB206" s="5">
        <f>IF(OR(I206="",J206=""),"",IF(OR(I206=0,V206="IGEN",W206="IGEN"),"X",IF(AND(K206&lt;&gt;"IGEN",L206="IGEN",U206="NEM"),"X",IF(AA206="IGEN",J206,"X"))))</f>
        <v/>
      </c>
      <c r="AC206" s="5">
        <f>IF(AB206="X",0,IF(D206="","",D206))</f>
        <v/>
      </c>
      <c r="AD206" s="5">
        <f>IF(AB206="X",IF(D206="","",D206),0)</f>
        <v/>
      </c>
      <c r="AE206" s="6" t="n"/>
      <c r="AF206" s="6">
        <f>IF(E206="","",SUMIFS($AI$5:AI206,$E$5:E206,E206)-AI206)</f>
        <v/>
      </c>
      <c r="AG206" s="6">
        <f>IF(AE206="","",MAX(0,AE206-AF206))</f>
        <v/>
      </c>
      <c r="AH206" s="6">
        <f>IF(S206="","",IF(OR(I206=0,V206="IGEN",W206="IGEN"),0,IF(AND(K206&lt;&gt;"IGEN",L206="IGEN",U206="NEM"),0,S206)))</f>
        <v/>
      </c>
      <c r="AI206" s="6">
        <f>IF(AH206="","",IF(M206="IGEN",MIN(AH206,AG206),AH206))</f>
        <v/>
      </c>
      <c r="AJ206" s="5" t="n"/>
    </row>
    <row r="207">
      <c r="A207" s="5" t="n"/>
      <c r="B207" s="5" t="n"/>
      <c r="C207" s="5" t="n"/>
      <c r="D207" s="5">
        <f>IF(AND(B207&lt;&gt;"",C207&lt;&gt;""),C207-B207+1,"")</f>
        <v/>
      </c>
      <c r="E207" s="5">
        <f>IF(B207&lt;&gt;"",YEAR(B207),"")</f>
        <v/>
      </c>
      <c r="F207" s="6" t="n"/>
      <c r="G207" s="6" t="n"/>
      <c r="H207" s="6" t="n"/>
      <c r="I207" s="5">
        <f>IF(H207="","",IFERROR(INDEX(Szabályok!$B$13:$B$200,MATCH(H207,Szabályok!$A$13:$A$200,0)),""))</f>
        <v/>
      </c>
      <c r="J207" s="5">
        <f>IF(H207="","",IFERROR(INDEX(Szabályok!$C$13:$C$200,MATCH(H207,Szabályok!$A$13:$A$200,0)),""))</f>
        <v/>
      </c>
      <c r="K207" s="5">
        <f>IF(H207="","",IFERROR(INDEX(Szabályok!$D$13:$D$200,MATCH(H207,Szabályok!$A$13:$A$200,0)),""))</f>
        <v/>
      </c>
      <c r="L207" s="5">
        <f>IF(H207="","",IFERROR(INDEX(Szabályok!$E$13:$E$200,MATCH(H207,Szabályok!$A$13:$A$200,0)),""))</f>
        <v/>
      </c>
      <c r="M207" s="5">
        <f>IF(H207="","",IFERROR(INDEX(Szabályok!$F$13:$F$200,MATCH(H207,Szabályok!$A$13:$A$200,0)),""))</f>
        <v/>
      </c>
      <c r="N207" s="5">
        <f>IF(H207="","",IFERROR(INDEX(Szabályok!$G$13:$G$200,MATCH(H207,Szabályok!$A$13:$A$200,0)),""))</f>
        <v/>
      </c>
      <c r="O207" s="5">
        <f>IF(H207="","",IFERROR(INDEX(Szabályok!$H$13:$H$200,MATCH(H207,Szabályok!$A$13:$A$200,0)),""))</f>
        <v/>
      </c>
      <c r="P207" s="5" t="n"/>
      <c r="Q207" s="6" t="n"/>
      <c r="R207" s="6" t="n"/>
      <c r="S207" s="6">
        <f>IF(COUNT(Q207:R207)=0,"",SUM(Q207:R207))</f>
        <v/>
      </c>
      <c r="T207" s="6" t="n"/>
      <c r="U207" s="5">
        <f>IF(T207="","",IF(L207&lt;&gt;"IGEN","IGEN",IF(S207&gt;=T207,"IGEN","NEM")))</f>
        <v/>
      </c>
      <c r="V207" s="5" t="n"/>
      <c r="W207" s="5" t="n"/>
      <c r="X207" s="5" t="n"/>
      <c r="Y207" s="5" t="n"/>
      <c r="Z207" s="5">
        <f>IF(X207="","",IF(COUNTIFS($X$5:$X$304,X207,$I$5:$I$304,"&lt;"&amp;I207)=0,I207,""))</f>
        <v/>
      </c>
      <c r="AA207" s="5">
        <f>IF(X207="","",IF(COUNTIFS($X$5:$X$304,X207,$I$5:$I$304,"&lt;"&amp;I207)&gt;0,"NEM",IF(COUNTIFS($X$5:$X$304,X207,$I$5:$I$304,I207)=1,"IGEN",IF(Y207=1,"IGEN","NEM"))))</f>
        <v/>
      </c>
      <c r="AB207" s="5">
        <f>IF(OR(I207="",J207=""),"",IF(OR(I207=0,V207="IGEN",W207="IGEN"),"X",IF(AND(K207&lt;&gt;"IGEN",L207="IGEN",U207="NEM"),"X",IF(AA207="IGEN",J207,"X"))))</f>
        <v/>
      </c>
      <c r="AC207" s="5">
        <f>IF(AB207="X",0,IF(D207="","",D207))</f>
        <v/>
      </c>
      <c r="AD207" s="5">
        <f>IF(AB207="X",IF(D207="","",D207),0)</f>
        <v/>
      </c>
      <c r="AE207" s="6" t="n"/>
      <c r="AF207" s="6">
        <f>IF(E207="","",SUMIFS($AI$5:AI207,$E$5:E207,E207)-AI207)</f>
        <v/>
      </c>
      <c r="AG207" s="6">
        <f>IF(AE207="","",MAX(0,AE207-AF207))</f>
        <v/>
      </c>
      <c r="AH207" s="6">
        <f>IF(S207="","",IF(OR(I207=0,V207="IGEN",W207="IGEN"),0,IF(AND(K207&lt;&gt;"IGEN",L207="IGEN",U207="NEM"),0,S207)))</f>
        <v/>
      </c>
      <c r="AI207" s="6">
        <f>IF(AH207="","",IF(M207="IGEN",MIN(AH207,AG207),AH207))</f>
        <v/>
      </c>
      <c r="AJ207" s="5" t="n"/>
    </row>
    <row r="208">
      <c r="A208" s="5" t="n"/>
      <c r="B208" s="5" t="n"/>
      <c r="C208" s="5" t="n"/>
      <c r="D208" s="5">
        <f>IF(AND(B208&lt;&gt;"",C208&lt;&gt;""),C208-B208+1,"")</f>
        <v/>
      </c>
      <c r="E208" s="5">
        <f>IF(B208&lt;&gt;"",YEAR(B208),"")</f>
        <v/>
      </c>
      <c r="F208" s="6" t="n"/>
      <c r="G208" s="6" t="n"/>
      <c r="H208" s="6" t="n"/>
      <c r="I208" s="5">
        <f>IF(H208="","",IFERROR(INDEX(Szabályok!$B$13:$B$200,MATCH(H208,Szabályok!$A$13:$A$200,0)),""))</f>
        <v/>
      </c>
      <c r="J208" s="5">
        <f>IF(H208="","",IFERROR(INDEX(Szabályok!$C$13:$C$200,MATCH(H208,Szabályok!$A$13:$A$200,0)),""))</f>
        <v/>
      </c>
      <c r="K208" s="5">
        <f>IF(H208="","",IFERROR(INDEX(Szabályok!$D$13:$D$200,MATCH(H208,Szabályok!$A$13:$A$200,0)),""))</f>
        <v/>
      </c>
      <c r="L208" s="5">
        <f>IF(H208="","",IFERROR(INDEX(Szabályok!$E$13:$E$200,MATCH(H208,Szabályok!$A$13:$A$200,0)),""))</f>
        <v/>
      </c>
      <c r="M208" s="5">
        <f>IF(H208="","",IFERROR(INDEX(Szabályok!$F$13:$F$200,MATCH(H208,Szabályok!$A$13:$A$200,0)),""))</f>
        <v/>
      </c>
      <c r="N208" s="5">
        <f>IF(H208="","",IFERROR(INDEX(Szabályok!$G$13:$G$200,MATCH(H208,Szabályok!$A$13:$A$200,0)),""))</f>
        <v/>
      </c>
      <c r="O208" s="5">
        <f>IF(H208="","",IFERROR(INDEX(Szabályok!$H$13:$H$200,MATCH(H208,Szabályok!$A$13:$A$200,0)),""))</f>
        <v/>
      </c>
      <c r="P208" s="5" t="n"/>
      <c r="Q208" s="6" t="n"/>
      <c r="R208" s="6" t="n"/>
      <c r="S208" s="6">
        <f>IF(COUNT(Q208:R208)=0,"",SUM(Q208:R208))</f>
        <v/>
      </c>
      <c r="T208" s="6" t="n"/>
      <c r="U208" s="5">
        <f>IF(T208="","",IF(L208&lt;&gt;"IGEN","IGEN",IF(S208&gt;=T208,"IGEN","NEM")))</f>
        <v/>
      </c>
      <c r="V208" s="5" t="n"/>
      <c r="W208" s="5" t="n"/>
      <c r="X208" s="5" t="n"/>
      <c r="Y208" s="5" t="n"/>
      <c r="Z208" s="5">
        <f>IF(X208="","",IF(COUNTIFS($X$5:$X$304,X208,$I$5:$I$304,"&lt;"&amp;I208)=0,I208,""))</f>
        <v/>
      </c>
      <c r="AA208" s="5">
        <f>IF(X208="","",IF(COUNTIFS($X$5:$X$304,X208,$I$5:$I$304,"&lt;"&amp;I208)&gt;0,"NEM",IF(COUNTIFS($X$5:$X$304,X208,$I$5:$I$304,I208)=1,"IGEN",IF(Y208=1,"IGEN","NEM"))))</f>
        <v/>
      </c>
      <c r="AB208" s="5">
        <f>IF(OR(I208="",J208=""),"",IF(OR(I208=0,V208="IGEN",W208="IGEN"),"X",IF(AND(K208&lt;&gt;"IGEN",L208="IGEN",U208="NEM"),"X",IF(AA208="IGEN",J208,"X"))))</f>
        <v/>
      </c>
      <c r="AC208" s="5">
        <f>IF(AB208="X",0,IF(D208="","",D208))</f>
        <v/>
      </c>
      <c r="AD208" s="5">
        <f>IF(AB208="X",IF(D208="","",D208),0)</f>
        <v/>
      </c>
      <c r="AE208" s="6" t="n"/>
      <c r="AF208" s="6">
        <f>IF(E208="","",SUMIFS($AI$5:AI208,$E$5:E208,E208)-AI208)</f>
        <v/>
      </c>
      <c r="AG208" s="6">
        <f>IF(AE208="","",MAX(0,AE208-AF208))</f>
        <v/>
      </c>
      <c r="AH208" s="6">
        <f>IF(S208="","",IF(OR(I208=0,V208="IGEN",W208="IGEN"),0,IF(AND(K208&lt;&gt;"IGEN",L208="IGEN",U208="NEM"),0,S208)))</f>
        <v/>
      </c>
      <c r="AI208" s="6">
        <f>IF(AH208="","",IF(M208="IGEN",MIN(AH208,AG208),AH208))</f>
        <v/>
      </c>
      <c r="AJ208" s="5" t="n"/>
    </row>
    <row r="209">
      <c r="A209" s="5" t="n"/>
      <c r="B209" s="5" t="n"/>
      <c r="C209" s="5" t="n"/>
      <c r="D209" s="5">
        <f>IF(AND(B209&lt;&gt;"",C209&lt;&gt;""),C209-B209+1,"")</f>
        <v/>
      </c>
      <c r="E209" s="5">
        <f>IF(B209&lt;&gt;"",YEAR(B209),"")</f>
        <v/>
      </c>
      <c r="F209" s="6" t="n"/>
      <c r="G209" s="6" t="n"/>
      <c r="H209" s="6" t="n"/>
      <c r="I209" s="5">
        <f>IF(H209="","",IFERROR(INDEX(Szabályok!$B$13:$B$200,MATCH(H209,Szabályok!$A$13:$A$200,0)),""))</f>
        <v/>
      </c>
      <c r="J209" s="5">
        <f>IF(H209="","",IFERROR(INDEX(Szabályok!$C$13:$C$200,MATCH(H209,Szabályok!$A$13:$A$200,0)),""))</f>
        <v/>
      </c>
      <c r="K209" s="5">
        <f>IF(H209="","",IFERROR(INDEX(Szabályok!$D$13:$D$200,MATCH(H209,Szabályok!$A$13:$A$200,0)),""))</f>
        <v/>
      </c>
      <c r="L209" s="5">
        <f>IF(H209="","",IFERROR(INDEX(Szabályok!$E$13:$E$200,MATCH(H209,Szabályok!$A$13:$A$200,0)),""))</f>
        <v/>
      </c>
      <c r="M209" s="5">
        <f>IF(H209="","",IFERROR(INDEX(Szabályok!$F$13:$F$200,MATCH(H209,Szabályok!$A$13:$A$200,0)),""))</f>
        <v/>
      </c>
      <c r="N209" s="5">
        <f>IF(H209="","",IFERROR(INDEX(Szabályok!$G$13:$G$200,MATCH(H209,Szabályok!$A$13:$A$200,0)),""))</f>
        <v/>
      </c>
      <c r="O209" s="5">
        <f>IF(H209="","",IFERROR(INDEX(Szabályok!$H$13:$H$200,MATCH(H209,Szabályok!$A$13:$A$200,0)),""))</f>
        <v/>
      </c>
      <c r="P209" s="5" t="n"/>
      <c r="Q209" s="6" t="n"/>
      <c r="R209" s="6" t="n"/>
      <c r="S209" s="6">
        <f>IF(COUNT(Q209:R209)=0,"",SUM(Q209:R209))</f>
        <v/>
      </c>
      <c r="T209" s="6" t="n"/>
      <c r="U209" s="5">
        <f>IF(T209="","",IF(L209&lt;&gt;"IGEN","IGEN",IF(S209&gt;=T209,"IGEN","NEM")))</f>
        <v/>
      </c>
      <c r="V209" s="5" t="n"/>
      <c r="W209" s="5" t="n"/>
      <c r="X209" s="5" t="n"/>
      <c r="Y209" s="5" t="n"/>
      <c r="Z209" s="5">
        <f>IF(X209="","",IF(COUNTIFS($X$5:$X$304,X209,$I$5:$I$304,"&lt;"&amp;I209)=0,I209,""))</f>
        <v/>
      </c>
      <c r="AA209" s="5">
        <f>IF(X209="","",IF(COUNTIFS($X$5:$X$304,X209,$I$5:$I$304,"&lt;"&amp;I209)&gt;0,"NEM",IF(COUNTIFS($X$5:$X$304,X209,$I$5:$I$304,I209)=1,"IGEN",IF(Y209=1,"IGEN","NEM"))))</f>
        <v/>
      </c>
      <c r="AB209" s="5">
        <f>IF(OR(I209="",J209=""),"",IF(OR(I209=0,V209="IGEN",W209="IGEN"),"X",IF(AND(K209&lt;&gt;"IGEN",L209="IGEN",U209="NEM"),"X",IF(AA209="IGEN",J209,"X"))))</f>
        <v/>
      </c>
      <c r="AC209" s="5">
        <f>IF(AB209="X",0,IF(D209="","",D209))</f>
        <v/>
      </c>
      <c r="AD209" s="5">
        <f>IF(AB209="X",IF(D209="","",D209),0)</f>
        <v/>
      </c>
      <c r="AE209" s="6" t="n"/>
      <c r="AF209" s="6">
        <f>IF(E209="","",SUMIFS($AI$5:AI209,$E$5:E209,E209)-AI209)</f>
        <v/>
      </c>
      <c r="AG209" s="6">
        <f>IF(AE209="","",MAX(0,AE209-AF209))</f>
        <v/>
      </c>
      <c r="AH209" s="6">
        <f>IF(S209="","",IF(OR(I209=0,V209="IGEN",W209="IGEN"),0,IF(AND(K209&lt;&gt;"IGEN",L209="IGEN",U209="NEM"),0,S209)))</f>
        <v/>
      </c>
      <c r="AI209" s="6">
        <f>IF(AH209="","",IF(M209="IGEN",MIN(AH209,AG209),AH209))</f>
        <v/>
      </c>
      <c r="AJ209" s="5" t="n"/>
    </row>
    <row r="210">
      <c r="A210" s="5" t="n"/>
      <c r="B210" s="5" t="n"/>
      <c r="C210" s="5" t="n"/>
      <c r="D210" s="5">
        <f>IF(AND(B210&lt;&gt;"",C210&lt;&gt;""),C210-B210+1,"")</f>
        <v/>
      </c>
      <c r="E210" s="5">
        <f>IF(B210&lt;&gt;"",YEAR(B210),"")</f>
        <v/>
      </c>
      <c r="F210" s="6" t="n"/>
      <c r="G210" s="6" t="n"/>
      <c r="H210" s="6" t="n"/>
      <c r="I210" s="5">
        <f>IF(H210="","",IFERROR(INDEX(Szabályok!$B$13:$B$200,MATCH(H210,Szabályok!$A$13:$A$200,0)),""))</f>
        <v/>
      </c>
      <c r="J210" s="5">
        <f>IF(H210="","",IFERROR(INDEX(Szabályok!$C$13:$C$200,MATCH(H210,Szabályok!$A$13:$A$200,0)),""))</f>
        <v/>
      </c>
      <c r="K210" s="5">
        <f>IF(H210="","",IFERROR(INDEX(Szabályok!$D$13:$D$200,MATCH(H210,Szabályok!$A$13:$A$200,0)),""))</f>
        <v/>
      </c>
      <c r="L210" s="5">
        <f>IF(H210="","",IFERROR(INDEX(Szabályok!$E$13:$E$200,MATCH(H210,Szabályok!$A$13:$A$200,0)),""))</f>
        <v/>
      </c>
      <c r="M210" s="5">
        <f>IF(H210="","",IFERROR(INDEX(Szabályok!$F$13:$F$200,MATCH(H210,Szabályok!$A$13:$A$200,0)),""))</f>
        <v/>
      </c>
      <c r="N210" s="5">
        <f>IF(H210="","",IFERROR(INDEX(Szabályok!$G$13:$G$200,MATCH(H210,Szabályok!$A$13:$A$200,0)),""))</f>
        <v/>
      </c>
      <c r="O210" s="5">
        <f>IF(H210="","",IFERROR(INDEX(Szabályok!$H$13:$H$200,MATCH(H210,Szabályok!$A$13:$A$200,0)),""))</f>
        <v/>
      </c>
      <c r="P210" s="5" t="n"/>
      <c r="Q210" s="6" t="n"/>
      <c r="R210" s="6" t="n"/>
      <c r="S210" s="6">
        <f>IF(COUNT(Q210:R210)=0,"",SUM(Q210:R210))</f>
        <v/>
      </c>
      <c r="T210" s="6" t="n"/>
      <c r="U210" s="5">
        <f>IF(T210="","",IF(L210&lt;&gt;"IGEN","IGEN",IF(S210&gt;=T210,"IGEN","NEM")))</f>
        <v/>
      </c>
      <c r="V210" s="5" t="n"/>
      <c r="W210" s="5" t="n"/>
      <c r="X210" s="5" t="n"/>
      <c r="Y210" s="5" t="n"/>
      <c r="Z210" s="5">
        <f>IF(X210="","",IF(COUNTIFS($X$5:$X$304,X210,$I$5:$I$304,"&lt;"&amp;I210)=0,I210,""))</f>
        <v/>
      </c>
      <c r="AA210" s="5">
        <f>IF(X210="","",IF(COUNTIFS($X$5:$X$304,X210,$I$5:$I$304,"&lt;"&amp;I210)&gt;0,"NEM",IF(COUNTIFS($X$5:$X$304,X210,$I$5:$I$304,I210)=1,"IGEN",IF(Y210=1,"IGEN","NEM"))))</f>
        <v/>
      </c>
      <c r="AB210" s="5">
        <f>IF(OR(I210="",J210=""),"",IF(OR(I210=0,V210="IGEN",W210="IGEN"),"X",IF(AND(K210&lt;&gt;"IGEN",L210="IGEN",U210="NEM"),"X",IF(AA210="IGEN",J210,"X"))))</f>
        <v/>
      </c>
      <c r="AC210" s="5">
        <f>IF(AB210="X",0,IF(D210="","",D210))</f>
        <v/>
      </c>
      <c r="AD210" s="5">
        <f>IF(AB210="X",IF(D210="","",D210),0)</f>
        <v/>
      </c>
      <c r="AE210" s="6" t="n"/>
      <c r="AF210" s="6">
        <f>IF(E210="","",SUMIFS($AI$5:AI210,$E$5:E210,E210)-AI210)</f>
        <v/>
      </c>
      <c r="AG210" s="6">
        <f>IF(AE210="","",MAX(0,AE210-AF210))</f>
        <v/>
      </c>
      <c r="AH210" s="6">
        <f>IF(S210="","",IF(OR(I210=0,V210="IGEN",W210="IGEN"),0,IF(AND(K210&lt;&gt;"IGEN",L210="IGEN",U210="NEM"),0,S210)))</f>
        <v/>
      </c>
      <c r="AI210" s="6">
        <f>IF(AH210="","",IF(M210="IGEN",MIN(AH210,AG210),AH210))</f>
        <v/>
      </c>
      <c r="AJ210" s="5" t="n"/>
    </row>
    <row r="211">
      <c r="A211" s="5" t="n"/>
      <c r="B211" s="5" t="n"/>
      <c r="C211" s="5" t="n"/>
      <c r="D211" s="5">
        <f>IF(AND(B211&lt;&gt;"",C211&lt;&gt;""),C211-B211+1,"")</f>
        <v/>
      </c>
      <c r="E211" s="5">
        <f>IF(B211&lt;&gt;"",YEAR(B211),"")</f>
        <v/>
      </c>
      <c r="F211" s="6" t="n"/>
      <c r="G211" s="6" t="n"/>
      <c r="H211" s="6" t="n"/>
      <c r="I211" s="5">
        <f>IF(H211="","",IFERROR(INDEX(Szabályok!$B$13:$B$200,MATCH(H211,Szabályok!$A$13:$A$200,0)),""))</f>
        <v/>
      </c>
      <c r="J211" s="5">
        <f>IF(H211="","",IFERROR(INDEX(Szabályok!$C$13:$C$200,MATCH(H211,Szabályok!$A$13:$A$200,0)),""))</f>
        <v/>
      </c>
      <c r="K211" s="5">
        <f>IF(H211="","",IFERROR(INDEX(Szabályok!$D$13:$D$200,MATCH(H211,Szabályok!$A$13:$A$200,0)),""))</f>
        <v/>
      </c>
      <c r="L211" s="5">
        <f>IF(H211="","",IFERROR(INDEX(Szabályok!$E$13:$E$200,MATCH(H211,Szabályok!$A$13:$A$200,0)),""))</f>
        <v/>
      </c>
      <c r="M211" s="5">
        <f>IF(H211="","",IFERROR(INDEX(Szabályok!$F$13:$F$200,MATCH(H211,Szabályok!$A$13:$A$200,0)),""))</f>
        <v/>
      </c>
      <c r="N211" s="5">
        <f>IF(H211="","",IFERROR(INDEX(Szabályok!$G$13:$G$200,MATCH(H211,Szabályok!$A$13:$A$200,0)),""))</f>
        <v/>
      </c>
      <c r="O211" s="5">
        <f>IF(H211="","",IFERROR(INDEX(Szabályok!$H$13:$H$200,MATCH(H211,Szabályok!$A$13:$A$200,0)),""))</f>
        <v/>
      </c>
      <c r="P211" s="5" t="n"/>
      <c r="Q211" s="6" t="n"/>
      <c r="R211" s="6" t="n"/>
      <c r="S211" s="6">
        <f>IF(COUNT(Q211:R211)=0,"",SUM(Q211:R211))</f>
        <v/>
      </c>
      <c r="T211" s="6" t="n"/>
      <c r="U211" s="5">
        <f>IF(T211="","",IF(L211&lt;&gt;"IGEN","IGEN",IF(S211&gt;=T211,"IGEN","NEM")))</f>
        <v/>
      </c>
      <c r="V211" s="5" t="n"/>
      <c r="W211" s="5" t="n"/>
      <c r="X211" s="5" t="n"/>
      <c r="Y211" s="5" t="n"/>
      <c r="Z211" s="5">
        <f>IF(X211="","",IF(COUNTIFS($X$5:$X$304,X211,$I$5:$I$304,"&lt;"&amp;I211)=0,I211,""))</f>
        <v/>
      </c>
      <c r="AA211" s="5">
        <f>IF(X211="","",IF(COUNTIFS($X$5:$X$304,X211,$I$5:$I$304,"&lt;"&amp;I211)&gt;0,"NEM",IF(COUNTIFS($X$5:$X$304,X211,$I$5:$I$304,I211)=1,"IGEN",IF(Y211=1,"IGEN","NEM"))))</f>
        <v/>
      </c>
      <c r="AB211" s="5">
        <f>IF(OR(I211="",J211=""),"",IF(OR(I211=0,V211="IGEN",W211="IGEN"),"X",IF(AND(K211&lt;&gt;"IGEN",L211="IGEN",U211="NEM"),"X",IF(AA211="IGEN",J211,"X"))))</f>
        <v/>
      </c>
      <c r="AC211" s="5">
        <f>IF(AB211="X",0,IF(D211="","",D211))</f>
        <v/>
      </c>
      <c r="AD211" s="5">
        <f>IF(AB211="X",IF(D211="","",D211),0)</f>
        <v/>
      </c>
      <c r="AE211" s="6" t="n"/>
      <c r="AF211" s="6">
        <f>IF(E211="","",SUMIFS($AI$5:AI211,$E$5:E211,E211)-AI211)</f>
        <v/>
      </c>
      <c r="AG211" s="6">
        <f>IF(AE211="","",MAX(0,AE211-AF211))</f>
        <v/>
      </c>
      <c r="AH211" s="6">
        <f>IF(S211="","",IF(OR(I211=0,V211="IGEN",W211="IGEN"),0,IF(AND(K211&lt;&gt;"IGEN",L211="IGEN",U211="NEM"),0,S211)))</f>
        <v/>
      </c>
      <c r="AI211" s="6">
        <f>IF(AH211="","",IF(M211="IGEN",MIN(AH211,AG211),AH211))</f>
        <v/>
      </c>
      <c r="AJ211" s="5" t="n"/>
    </row>
    <row r="212">
      <c r="A212" s="5" t="n"/>
      <c r="B212" s="5" t="n"/>
      <c r="C212" s="5" t="n"/>
      <c r="D212" s="5">
        <f>IF(AND(B212&lt;&gt;"",C212&lt;&gt;""),C212-B212+1,"")</f>
        <v/>
      </c>
      <c r="E212" s="5">
        <f>IF(B212&lt;&gt;"",YEAR(B212),"")</f>
        <v/>
      </c>
      <c r="F212" s="6" t="n"/>
      <c r="G212" s="6" t="n"/>
      <c r="H212" s="6" t="n"/>
      <c r="I212" s="5">
        <f>IF(H212="","",IFERROR(INDEX(Szabályok!$B$13:$B$200,MATCH(H212,Szabályok!$A$13:$A$200,0)),""))</f>
        <v/>
      </c>
      <c r="J212" s="5">
        <f>IF(H212="","",IFERROR(INDEX(Szabályok!$C$13:$C$200,MATCH(H212,Szabályok!$A$13:$A$200,0)),""))</f>
        <v/>
      </c>
      <c r="K212" s="5">
        <f>IF(H212="","",IFERROR(INDEX(Szabályok!$D$13:$D$200,MATCH(H212,Szabályok!$A$13:$A$200,0)),""))</f>
        <v/>
      </c>
      <c r="L212" s="5">
        <f>IF(H212="","",IFERROR(INDEX(Szabályok!$E$13:$E$200,MATCH(H212,Szabályok!$A$13:$A$200,0)),""))</f>
        <v/>
      </c>
      <c r="M212" s="5">
        <f>IF(H212="","",IFERROR(INDEX(Szabályok!$F$13:$F$200,MATCH(H212,Szabályok!$A$13:$A$200,0)),""))</f>
        <v/>
      </c>
      <c r="N212" s="5">
        <f>IF(H212="","",IFERROR(INDEX(Szabályok!$G$13:$G$200,MATCH(H212,Szabályok!$A$13:$A$200,0)),""))</f>
        <v/>
      </c>
      <c r="O212" s="5">
        <f>IF(H212="","",IFERROR(INDEX(Szabályok!$H$13:$H$200,MATCH(H212,Szabályok!$A$13:$A$200,0)),""))</f>
        <v/>
      </c>
      <c r="P212" s="5" t="n"/>
      <c r="Q212" s="6" t="n"/>
      <c r="R212" s="6" t="n"/>
      <c r="S212" s="6">
        <f>IF(COUNT(Q212:R212)=0,"",SUM(Q212:R212))</f>
        <v/>
      </c>
      <c r="T212" s="6" t="n"/>
      <c r="U212" s="5">
        <f>IF(T212="","",IF(L212&lt;&gt;"IGEN","IGEN",IF(S212&gt;=T212,"IGEN","NEM")))</f>
        <v/>
      </c>
      <c r="V212" s="5" t="n"/>
      <c r="W212" s="5" t="n"/>
      <c r="X212" s="5" t="n"/>
      <c r="Y212" s="5" t="n"/>
      <c r="Z212" s="5">
        <f>IF(X212="","",IF(COUNTIFS($X$5:$X$304,X212,$I$5:$I$304,"&lt;"&amp;I212)=0,I212,""))</f>
        <v/>
      </c>
      <c r="AA212" s="5">
        <f>IF(X212="","",IF(COUNTIFS($X$5:$X$304,X212,$I$5:$I$304,"&lt;"&amp;I212)&gt;0,"NEM",IF(COUNTIFS($X$5:$X$304,X212,$I$5:$I$304,I212)=1,"IGEN",IF(Y212=1,"IGEN","NEM"))))</f>
        <v/>
      </c>
      <c r="AB212" s="5">
        <f>IF(OR(I212="",J212=""),"",IF(OR(I212=0,V212="IGEN",W212="IGEN"),"X",IF(AND(K212&lt;&gt;"IGEN",L212="IGEN",U212="NEM"),"X",IF(AA212="IGEN",J212,"X"))))</f>
        <v/>
      </c>
      <c r="AC212" s="5">
        <f>IF(AB212="X",0,IF(D212="","",D212))</f>
        <v/>
      </c>
      <c r="AD212" s="5">
        <f>IF(AB212="X",IF(D212="","",D212),0)</f>
        <v/>
      </c>
      <c r="AE212" s="6" t="n"/>
      <c r="AF212" s="6">
        <f>IF(E212="","",SUMIFS($AI$5:AI212,$E$5:E212,E212)-AI212)</f>
        <v/>
      </c>
      <c r="AG212" s="6">
        <f>IF(AE212="","",MAX(0,AE212-AF212))</f>
        <v/>
      </c>
      <c r="AH212" s="6">
        <f>IF(S212="","",IF(OR(I212=0,V212="IGEN",W212="IGEN"),0,IF(AND(K212&lt;&gt;"IGEN",L212="IGEN",U212="NEM"),0,S212)))</f>
        <v/>
      </c>
      <c r="AI212" s="6">
        <f>IF(AH212="","",IF(M212="IGEN",MIN(AH212,AG212),AH212))</f>
        <v/>
      </c>
      <c r="AJ212" s="5" t="n"/>
    </row>
    <row r="213">
      <c r="A213" s="5" t="n"/>
      <c r="B213" s="5" t="n"/>
      <c r="C213" s="5" t="n"/>
      <c r="D213" s="5">
        <f>IF(AND(B213&lt;&gt;"",C213&lt;&gt;""),C213-B213+1,"")</f>
        <v/>
      </c>
      <c r="E213" s="5">
        <f>IF(B213&lt;&gt;"",YEAR(B213),"")</f>
        <v/>
      </c>
      <c r="F213" s="6" t="n"/>
      <c r="G213" s="6" t="n"/>
      <c r="H213" s="6" t="n"/>
      <c r="I213" s="5">
        <f>IF(H213="","",IFERROR(INDEX(Szabályok!$B$13:$B$200,MATCH(H213,Szabályok!$A$13:$A$200,0)),""))</f>
        <v/>
      </c>
      <c r="J213" s="5">
        <f>IF(H213="","",IFERROR(INDEX(Szabályok!$C$13:$C$200,MATCH(H213,Szabályok!$A$13:$A$200,0)),""))</f>
        <v/>
      </c>
      <c r="K213" s="5">
        <f>IF(H213="","",IFERROR(INDEX(Szabályok!$D$13:$D$200,MATCH(H213,Szabályok!$A$13:$A$200,0)),""))</f>
        <v/>
      </c>
      <c r="L213" s="5">
        <f>IF(H213="","",IFERROR(INDEX(Szabályok!$E$13:$E$200,MATCH(H213,Szabályok!$A$13:$A$200,0)),""))</f>
        <v/>
      </c>
      <c r="M213" s="5">
        <f>IF(H213="","",IFERROR(INDEX(Szabályok!$F$13:$F$200,MATCH(H213,Szabályok!$A$13:$A$200,0)),""))</f>
        <v/>
      </c>
      <c r="N213" s="5">
        <f>IF(H213="","",IFERROR(INDEX(Szabályok!$G$13:$G$200,MATCH(H213,Szabályok!$A$13:$A$200,0)),""))</f>
        <v/>
      </c>
      <c r="O213" s="5">
        <f>IF(H213="","",IFERROR(INDEX(Szabályok!$H$13:$H$200,MATCH(H213,Szabályok!$A$13:$A$200,0)),""))</f>
        <v/>
      </c>
      <c r="P213" s="5" t="n"/>
      <c r="Q213" s="6" t="n"/>
      <c r="R213" s="6" t="n"/>
      <c r="S213" s="6">
        <f>IF(COUNT(Q213:R213)=0,"",SUM(Q213:R213))</f>
        <v/>
      </c>
      <c r="T213" s="6" t="n"/>
      <c r="U213" s="5">
        <f>IF(T213="","",IF(L213&lt;&gt;"IGEN","IGEN",IF(S213&gt;=T213,"IGEN","NEM")))</f>
        <v/>
      </c>
      <c r="V213" s="5" t="n"/>
      <c r="W213" s="5" t="n"/>
      <c r="X213" s="5" t="n"/>
      <c r="Y213" s="5" t="n"/>
      <c r="Z213" s="5">
        <f>IF(X213="","",IF(COUNTIFS($X$5:$X$304,X213,$I$5:$I$304,"&lt;"&amp;I213)=0,I213,""))</f>
        <v/>
      </c>
      <c r="AA213" s="5">
        <f>IF(X213="","",IF(COUNTIFS($X$5:$X$304,X213,$I$5:$I$304,"&lt;"&amp;I213)&gt;0,"NEM",IF(COUNTIFS($X$5:$X$304,X213,$I$5:$I$304,I213)=1,"IGEN",IF(Y213=1,"IGEN","NEM"))))</f>
        <v/>
      </c>
      <c r="AB213" s="5">
        <f>IF(OR(I213="",J213=""),"",IF(OR(I213=0,V213="IGEN",W213="IGEN"),"X",IF(AND(K213&lt;&gt;"IGEN",L213="IGEN",U213="NEM"),"X",IF(AA213="IGEN",J213,"X"))))</f>
        <v/>
      </c>
      <c r="AC213" s="5">
        <f>IF(AB213="X",0,IF(D213="","",D213))</f>
        <v/>
      </c>
      <c r="AD213" s="5">
        <f>IF(AB213="X",IF(D213="","",D213),0)</f>
        <v/>
      </c>
      <c r="AE213" s="6" t="n"/>
      <c r="AF213" s="6">
        <f>IF(E213="","",SUMIFS($AI$5:AI213,$E$5:E213,E213)-AI213)</f>
        <v/>
      </c>
      <c r="AG213" s="6">
        <f>IF(AE213="","",MAX(0,AE213-AF213))</f>
        <v/>
      </c>
      <c r="AH213" s="6">
        <f>IF(S213="","",IF(OR(I213=0,V213="IGEN",W213="IGEN"),0,IF(AND(K213&lt;&gt;"IGEN",L213="IGEN",U213="NEM"),0,S213)))</f>
        <v/>
      </c>
      <c r="AI213" s="6">
        <f>IF(AH213="","",IF(M213="IGEN",MIN(AH213,AG213),AH213))</f>
        <v/>
      </c>
      <c r="AJ213" s="5" t="n"/>
    </row>
    <row r="214">
      <c r="A214" s="5" t="n"/>
      <c r="B214" s="5" t="n"/>
      <c r="C214" s="5" t="n"/>
      <c r="D214" s="5">
        <f>IF(AND(B214&lt;&gt;"",C214&lt;&gt;""),C214-B214+1,"")</f>
        <v/>
      </c>
      <c r="E214" s="5">
        <f>IF(B214&lt;&gt;"",YEAR(B214),"")</f>
        <v/>
      </c>
      <c r="F214" s="6" t="n"/>
      <c r="G214" s="6" t="n"/>
      <c r="H214" s="6" t="n"/>
      <c r="I214" s="5">
        <f>IF(H214="","",IFERROR(INDEX(Szabályok!$B$13:$B$200,MATCH(H214,Szabályok!$A$13:$A$200,0)),""))</f>
        <v/>
      </c>
      <c r="J214" s="5">
        <f>IF(H214="","",IFERROR(INDEX(Szabályok!$C$13:$C$200,MATCH(H214,Szabályok!$A$13:$A$200,0)),""))</f>
        <v/>
      </c>
      <c r="K214" s="5">
        <f>IF(H214="","",IFERROR(INDEX(Szabályok!$D$13:$D$200,MATCH(H214,Szabályok!$A$13:$A$200,0)),""))</f>
        <v/>
      </c>
      <c r="L214" s="5">
        <f>IF(H214="","",IFERROR(INDEX(Szabályok!$E$13:$E$200,MATCH(H214,Szabályok!$A$13:$A$200,0)),""))</f>
        <v/>
      </c>
      <c r="M214" s="5">
        <f>IF(H214="","",IFERROR(INDEX(Szabályok!$F$13:$F$200,MATCH(H214,Szabályok!$A$13:$A$200,0)),""))</f>
        <v/>
      </c>
      <c r="N214" s="5">
        <f>IF(H214="","",IFERROR(INDEX(Szabályok!$G$13:$G$200,MATCH(H214,Szabályok!$A$13:$A$200,0)),""))</f>
        <v/>
      </c>
      <c r="O214" s="5">
        <f>IF(H214="","",IFERROR(INDEX(Szabályok!$H$13:$H$200,MATCH(H214,Szabályok!$A$13:$A$200,0)),""))</f>
        <v/>
      </c>
      <c r="P214" s="5" t="n"/>
      <c r="Q214" s="6" t="n"/>
      <c r="R214" s="6" t="n"/>
      <c r="S214" s="6">
        <f>IF(COUNT(Q214:R214)=0,"",SUM(Q214:R214))</f>
        <v/>
      </c>
      <c r="T214" s="6" t="n"/>
      <c r="U214" s="5">
        <f>IF(T214="","",IF(L214&lt;&gt;"IGEN","IGEN",IF(S214&gt;=T214,"IGEN","NEM")))</f>
        <v/>
      </c>
      <c r="V214" s="5" t="n"/>
      <c r="W214" s="5" t="n"/>
      <c r="X214" s="5" t="n"/>
      <c r="Y214" s="5" t="n"/>
      <c r="Z214" s="5">
        <f>IF(X214="","",IF(COUNTIFS($X$5:$X$304,X214,$I$5:$I$304,"&lt;"&amp;I214)=0,I214,""))</f>
        <v/>
      </c>
      <c r="AA214" s="5">
        <f>IF(X214="","",IF(COUNTIFS($X$5:$X$304,X214,$I$5:$I$304,"&lt;"&amp;I214)&gt;0,"NEM",IF(COUNTIFS($X$5:$X$304,X214,$I$5:$I$304,I214)=1,"IGEN",IF(Y214=1,"IGEN","NEM"))))</f>
        <v/>
      </c>
      <c r="AB214" s="5">
        <f>IF(OR(I214="",J214=""),"",IF(OR(I214=0,V214="IGEN",W214="IGEN"),"X",IF(AND(K214&lt;&gt;"IGEN",L214="IGEN",U214="NEM"),"X",IF(AA214="IGEN",J214,"X"))))</f>
        <v/>
      </c>
      <c r="AC214" s="5">
        <f>IF(AB214="X",0,IF(D214="","",D214))</f>
        <v/>
      </c>
      <c r="AD214" s="5">
        <f>IF(AB214="X",IF(D214="","",D214),0)</f>
        <v/>
      </c>
      <c r="AE214" s="6" t="n"/>
      <c r="AF214" s="6">
        <f>IF(E214="","",SUMIFS($AI$5:AI214,$E$5:E214,E214)-AI214)</f>
        <v/>
      </c>
      <c r="AG214" s="6">
        <f>IF(AE214="","",MAX(0,AE214-AF214))</f>
        <v/>
      </c>
      <c r="AH214" s="6">
        <f>IF(S214="","",IF(OR(I214=0,V214="IGEN",W214="IGEN"),0,IF(AND(K214&lt;&gt;"IGEN",L214="IGEN",U214="NEM"),0,S214)))</f>
        <v/>
      </c>
      <c r="AI214" s="6">
        <f>IF(AH214="","",IF(M214="IGEN",MIN(AH214,AG214),AH214))</f>
        <v/>
      </c>
      <c r="AJ214" s="5" t="n"/>
    </row>
    <row r="215">
      <c r="A215" s="5" t="n"/>
      <c r="B215" s="5" t="n"/>
      <c r="C215" s="5" t="n"/>
      <c r="D215" s="5">
        <f>IF(AND(B215&lt;&gt;"",C215&lt;&gt;""),C215-B215+1,"")</f>
        <v/>
      </c>
      <c r="E215" s="5">
        <f>IF(B215&lt;&gt;"",YEAR(B215),"")</f>
        <v/>
      </c>
      <c r="F215" s="6" t="n"/>
      <c r="G215" s="6" t="n"/>
      <c r="H215" s="6" t="n"/>
      <c r="I215" s="5">
        <f>IF(H215="","",IFERROR(INDEX(Szabályok!$B$13:$B$200,MATCH(H215,Szabályok!$A$13:$A$200,0)),""))</f>
        <v/>
      </c>
      <c r="J215" s="5">
        <f>IF(H215="","",IFERROR(INDEX(Szabályok!$C$13:$C$200,MATCH(H215,Szabályok!$A$13:$A$200,0)),""))</f>
        <v/>
      </c>
      <c r="K215" s="5">
        <f>IF(H215="","",IFERROR(INDEX(Szabályok!$D$13:$D$200,MATCH(H215,Szabályok!$A$13:$A$200,0)),""))</f>
        <v/>
      </c>
      <c r="L215" s="5">
        <f>IF(H215="","",IFERROR(INDEX(Szabályok!$E$13:$E$200,MATCH(H215,Szabályok!$A$13:$A$200,0)),""))</f>
        <v/>
      </c>
      <c r="M215" s="5">
        <f>IF(H215="","",IFERROR(INDEX(Szabályok!$F$13:$F$200,MATCH(H215,Szabályok!$A$13:$A$200,0)),""))</f>
        <v/>
      </c>
      <c r="N215" s="5">
        <f>IF(H215="","",IFERROR(INDEX(Szabályok!$G$13:$G$200,MATCH(H215,Szabályok!$A$13:$A$200,0)),""))</f>
        <v/>
      </c>
      <c r="O215" s="5">
        <f>IF(H215="","",IFERROR(INDEX(Szabályok!$H$13:$H$200,MATCH(H215,Szabályok!$A$13:$A$200,0)),""))</f>
        <v/>
      </c>
      <c r="P215" s="5" t="n"/>
      <c r="Q215" s="6" t="n"/>
      <c r="R215" s="6" t="n"/>
      <c r="S215" s="6">
        <f>IF(COUNT(Q215:R215)=0,"",SUM(Q215:R215))</f>
        <v/>
      </c>
      <c r="T215" s="6" t="n"/>
      <c r="U215" s="5">
        <f>IF(T215="","",IF(L215&lt;&gt;"IGEN","IGEN",IF(S215&gt;=T215,"IGEN","NEM")))</f>
        <v/>
      </c>
      <c r="V215" s="5" t="n"/>
      <c r="W215" s="5" t="n"/>
      <c r="X215" s="5" t="n"/>
      <c r="Y215" s="5" t="n"/>
      <c r="Z215" s="5">
        <f>IF(X215="","",IF(COUNTIFS($X$5:$X$304,X215,$I$5:$I$304,"&lt;"&amp;I215)=0,I215,""))</f>
        <v/>
      </c>
      <c r="AA215" s="5">
        <f>IF(X215="","",IF(COUNTIFS($X$5:$X$304,X215,$I$5:$I$304,"&lt;"&amp;I215)&gt;0,"NEM",IF(COUNTIFS($X$5:$X$304,X215,$I$5:$I$304,I215)=1,"IGEN",IF(Y215=1,"IGEN","NEM"))))</f>
        <v/>
      </c>
      <c r="AB215" s="5">
        <f>IF(OR(I215="",J215=""),"",IF(OR(I215=0,V215="IGEN",W215="IGEN"),"X",IF(AND(K215&lt;&gt;"IGEN",L215="IGEN",U215="NEM"),"X",IF(AA215="IGEN",J215,"X"))))</f>
        <v/>
      </c>
      <c r="AC215" s="5">
        <f>IF(AB215="X",0,IF(D215="","",D215))</f>
        <v/>
      </c>
      <c r="AD215" s="5">
        <f>IF(AB215="X",IF(D215="","",D215),0)</f>
        <v/>
      </c>
      <c r="AE215" s="6" t="n"/>
      <c r="AF215" s="6">
        <f>IF(E215="","",SUMIFS($AI$5:AI215,$E$5:E215,E215)-AI215)</f>
        <v/>
      </c>
      <c r="AG215" s="6">
        <f>IF(AE215="","",MAX(0,AE215-AF215))</f>
        <v/>
      </c>
      <c r="AH215" s="6">
        <f>IF(S215="","",IF(OR(I215=0,V215="IGEN",W215="IGEN"),0,IF(AND(K215&lt;&gt;"IGEN",L215="IGEN",U215="NEM"),0,S215)))</f>
        <v/>
      </c>
      <c r="AI215" s="6">
        <f>IF(AH215="","",IF(M215="IGEN",MIN(AH215,AG215),AH215))</f>
        <v/>
      </c>
      <c r="AJ215" s="5" t="n"/>
    </row>
    <row r="216">
      <c r="A216" s="5" t="n"/>
      <c r="B216" s="5" t="n"/>
      <c r="C216" s="5" t="n"/>
      <c r="D216" s="5">
        <f>IF(AND(B216&lt;&gt;"",C216&lt;&gt;""),C216-B216+1,"")</f>
        <v/>
      </c>
      <c r="E216" s="5">
        <f>IF(B216&lt;&gt;"",YEAR(B216),"")</f>
        <v/>
      </c>
      <c r="F216" s="6" t="n"/>
      <c r="G216" s="6" t="n"/>
      <c r="H216" s="6" t="n"/>
      <c r="I216" s="5">
        <f>IF(H216="","",IFERROR(INDEX(Szabályok!$B$13:$B$200,MATCH(H216,Szabályok!$A$13:$A$200,0)),""))</f>
        <v/>
      </c>
      <c r="J216" s="5">
        <f>IF(H216="","",IFERROR(INDEX(Szabályok!$C$13:$C$200,MATCH(H216,Szabályok!$A$13:$A$200,0)),""))</f>
        <v/>
      </c>
      <c r="K216" s="5">
        <f>IF(H216="","",IFERROR(INDEX(Szabályok!$D$13:$D$200,MATCH(H216,Szabályok!$A$13:$A$200,0)),""))</f>
        <v/>
      </c>
      <c r="L216" s="5">
        <f>IF(H216="","",IFERROR(INDEX(Szabályok!$E$13:$E$200,MATCH(H216,Szabályok!$A$13:$A$200,0)),""))</f>
        <v/>
      </c>
      <c r="M216" s="5">
        <f>IF(H216="","",IFERROR(INDEX(Szabályok!$F$13:$F$200,MATCH(H216,Szabályok!$A$13:$A$200,0)),""))</f>
        <v/>
      </c>
      <c r="N216" s="5">
        <f>IF(H216="","",IFERROR(INDEX(Szabályok!$G$13:$G$200,MATCH(H216,Szabályok!$A$13:$A$200,0)),""))</f>
        <v/>
      </c>
      <c r="O216" s="5">
        <f>IF(H216="","",IFERROR(INDEX(Szabályok!$H$13:$H$200,MATCH(H216,Szabályok!$A$13:$A$200,0)),""))</f>
        <v/>
      </c>
      <c r="P216" s="5" t="n"/>
      <c r="Q216" s="6" t="n"/>
      <c r="R216" s="6" t="n"/>
      <c r="S216" s="6">
        <f>IF(COUNT(Q216:R216)=0,"",SUM(Q216:R216))</f>
        <v/>
      </c>
      <c r="T216" s="6" t="n"/>
      <c r="U216" s="5">
        <f>IF(T216="","",IF(L216&lt;&gt;"IGEN","IGEN",IF(S216&gt;=T216,"IGEN","NEM")))</f>
        <v/>
      </c>
      <c r="V216" s="5" t="n"/>
      <c r="W216" s="5" t="n"/>
      <c r="X216" s="5" t="n"/>
      <c r="Y216" s="5" t="n"/>
      <c r="Z216" s="5">
        <f>IF(X216="","",IF(COUNTIFS($X$5:$X$304,X216,$I$5:$I$304,"&lt;"&amp;I216)=0,I216,""))</f>
        <v/>
      </c>
      <c r="AA216" s="5">
        <f>IF(X216="","",IF(COUNTIFS($X$5:$X$304,X216,$I$5:$I$304,"&lt;"&amp;I216)&gt;0,"NEM",IF(COUNTIFS($X$5:$X$304,X216,$I$5:$I$304,I216)=1,"IGEN",IF(Y216=1,"IGEN","NEM"))))</f>
        <v/>
      </c>
      <c r="AB216" s="5">
        <f>IF(OR(I216="",J216=""),"",IF(OR(I216=0,V216="IGEN",W216="IGEN"),"X",IF(AND(K216&lt;&gt;"IGEN",L216="IGEN",U216="NEM"),"X",IF(AA216="IGEN",J216,"X"))))</f>
        <v/>
      </c>
      <c r="AC216" s="5">
        <f>IF(AB216="X",0,IF(D216="","",D216))</f>
        <v/>
      </c>
      <c r="AD216" s="5">
        <f>IF(AB216="X",IF(D216="","",D216),0)</f>
        <v/>
      </c>
      <c r="AE216" s="6" t="n"/>
      <c r="AF216" s="6">
        <f>IF(E216="","",SUMIFS($AI$5:AI216,$E$5:E216,E216)-AI216)</f>
        <v/>
      </c>
      <c r="AG216" s="6">
        <f>IF(AE216="","",MAX(0,AE216-AF216))</f>
        <v/>
      </c>
      <c r="AH216" s="6">
        <f>IF(S216="","",IF(OR(I216=0,V216="IGEN",W216="IGEN"),0,IF(AND(K216&lt;&gt;"IGEN",L216="IGEN",U216="NEM"),0,S216)))</f>
        <v/>
      </c>
      <c r="AI216" s="6">
        <f>IF(AH216="","",IF(M216="IGEN",MIN(AH216,AG216),AH216))</f>
        <v/>
      </c>
      <c r="AJ216" s="5" t="n"/>
    </row>
    <row r="217">
      <c r="A217" s="5" t="n"/>
      <c r="B217" s="5" t="n"/>
      <c r="C217" s="5" t="n"/>
      <c r="D217" s="5">
        <f>IF(AND(B217&lt;&gt;"",C217&lt;&gt;""),C217-B217+1,"")</f>
        <v/>
      </c>
      <c r="E217" s="5">
        <f>IF(B217&lt;&gt;"",YEAR(B217),"")</f>
        <v/>
      </c>
      <c r="F217" s="6" t="n"/>
      <c r="G217" s="6" t="n"/>
      <c r="H217" s="6" t="n"/>
      <c r="I217" s="5">
        <f>IF(H217="","",IFERROR(INDEX(Szabályok!$B$13:$B$200,MATCH(H217,Szabályok!$A$13:$A$200,0)),""))</f>
        <v/>
      </c>
      <c r="J217" s="5">
        <f>IF(H217="","",IFERROR(INDEX(Szabályok!$C$13:$C$200,MATCH(H217,Szabályok!$A$13:$A$200,0)),""))</f>
        <v/>
      </c>
      <c r="K217" s="5">
        <f>IF(H217="","",IFERROR(INDEX(Szabályok!$D$13:$D$200,MATCH(H217,Szabályok!$A$13:$A$200,0)),""))</f>
        <v/>
      </c>
      <c r="L217" s="5">
        <f>IF(H217="","",IFERROR(INDEX(Szabályok!$E$13:$E$200,MATCH(H217,Szabályok!$A$13:$A$200,0)),""))</f>
        <v/>
      </c>
      <c r="M217" s="5">
        <f>IF(H217="","",IFERROR(INDEX(Szabályok!$F$13:$F$200,MATCH(H217,Szabályok!$A$13:$A$200,0)),""))</f>
        <v/>
      </c>
      <c r="N217" s="5">
        <f>IF(H217="","",IFERROR(INDEX(Szabályok!$G$13:$G$200,MATCH(H217,Szabályok!$A$13:$A$200,0)),""))</f>
        <v/>
      </c>
      <c r="O217" s="5">
        <f>IF(H217="","",IFERROR(INDEX(Szabályok!$H$13:$H$200,MATCH(H217,Szabályok!$A$13:$A$200,0)),""))</f>
        <v/>
      </c>
      <c r="P217" s="5" t="n"/>
      <c r="Q217" s="6" t="n"/>
      <c r="R217" s="6" t="n"/>
      <c r="S217" s="6">
        <f>IF(COUNT(Q217:R217)=0,"",SUM(Q217:R217))</f>
        <v/>
      </c>
      <c r="T217" s="6" t="n"/>
      <c r="U217" s="5">
        <f>IF(T217="","",IF(L217&lt;&gt;"IGEN","IGEN",IF(S217&gt;=T217,"IGEN","NEM")))</f>
        <v/>
      </c>
      <c r="V217" s="5" t="n"/>
      <c r="W217" s="5" t="n"/>
      <c r="X217" s="5" t="n"/>
      <c r="Y217" s="5" t="n"/>
      <c r="Z217" s="5">
        <f>IF(X217="","",IF(COUNTIFS($X$5:$X$304,X217,$I$5:$I$304,"&lt;"&amp;I217)=0,I217,""))</f>
        <v/>
      </c>
      <c r="AA217" s="5">
        <f>IF(X217="","",IF(COUNTIFS($X$5:$X$304,X217,$I$5:$I$304,"&lt;"&amp;I217)&gt;0,"NEM",IF(COUNTIFS($X$5:$X$304,X217,$I$5:$I$304,I217)=1,"IGEN",IF(Y217=1,"IGEN","NEM"))))</f>
        <v/>
      </c>
      <c r="AB217" s="5">
        <f>IF(OR(I217="",J217=""),"",IF(OR(I217=0,V217="IGEN",W217="IGEN"),"X",IF(AND(K217&lt;&gt;"IGEN",L217="IGEN",U217="NEM"),"X",IF(AA217="IGEN",J217,"X"))))</f>
        <v/>
      </c>
      <c r="AC217" s="5">
        <f>IF(AB217="X",0,IF(D217="","",D217))</f>
        <v/>
      </c>
      <c r="AD217" s="5">
        <f>IF(AB217="X",IF(D217="","",D217),0)</f>
        <v/>
      </c>
      <c r="AE217" s="6" t="n"/>
      <c r="AF217" s="6">
        <f>IF(E217="","",SUMIFS($AI$5:AI217,$E$5:E217,E217)-AI217)</f>
        <v/>
      </c>
      <c r="AG217" s="6">
        <f>IF(AE217="","",MAX(0,AE217-AF217))</f>
        <v/>
      </c>
      <c r="AH217" s="6">
        <f>IF(S217="","",IF(OR(I217=0,V217="IGEN",W217="IGEN"),0,IF(AND(K217&lt;&gt;"IGEN",L217="IGEN",U217="NEM"),0,S217)))</f>
        <v/>
      </c>
      <c r="AI217" s="6">
        <f>IF(AH217="","",IF(M217="IGEN",MIN(AH217,AG217),AH217))</f>
        <v/>
      </c>
      <c r="AJ217" s="5" t="n"/>
    </row>
    <row r="218">
      <c r="A218" s="5" t="n"/>
      <c r="B218" s="5" t="n"/>
      <c r="C218" s="5" t="n"/>
      <c r="D218" s="5">
        <f>IF(AND(B218&lt;&gt;"",C218&lt;&gt;""),C218-B218+1,"")</f>
        <v/>
      </c>
      <c r="E218" s="5">
        <f>IF(B218&lt;&gt;"",YEAR(B218),"")</f>
        <v/>
      </c>
      <c r="F218" s="6" t="n"/>
      <c r="G218" s="6" t="n"/>
      <c r="H218" s="6" t="n"/>
      <c r="I218" s="5">
        <f>IF(H218="","",IFERROR(INDEX(Szabályok!$B$13:$B$200,MATCH(H218,Szabályok!$A$13:$A$200,0)),""))</f>
        <v/>
      </c>
      <c r="J218" s="5">
        <f>IF(H218="","",IFERROR(INDEX(Szabályok!$C$13:$C$200,MATCH(H218,Szabályok!$A$13:$A$200,0)),""))</f>
        <v/>
      </c>
      <c r="K218" s="5">
        <f>IF(H218="","",IFERROR(INDEX(Szabályok!$D$13:$D$200,MATCH(H218,Szabályok!$A$13:$A$200,0)),""))</f>
        <v/>
      </c>
      <c r="L218" s="5">
        <f>IF(H218="","",IFERROR(INDEX(Szabályok!$E$13:$E$200,MATCH(H218,Szabályok!$A$13:$A$200,0)),""))</f>
        <v/>
      </c>
      <c r="M218" s="5">
        <f>IF(H218="","",IFERROR(INDEX(Szabályok!$F$13:$F$200,MATCH(H218,Szabályok!$A$13:$A$200,0)),""))</f>
        <v/>
      </c>
      <c r="N218" s="5">
        <f>IF(H218="","",IFERROR(INDEX(Szabályok!$G$13:$G$200,MATCH(H218,Szabályok!$A$13:$A$200,0)),""))</f>
        <v/>
      </c>
      <c r="O218" s="5">
        <f>IF(H218="","",IFERROR(INDEX(Szabályok!$H$13:$H$200,MATCH(H218,Szabályok!$A$13:$A$200,0)),""))</f>
        <v/>
      </c>
      <c r="P218" s="5" t="n"/>
      <c r="Q218" s="6" t="n"/>
      <c r="R218" s="6" t="n"/>
      <c r="S218" s="6">
        <f>IF(COUNT(Q218:R218)=0,"",SUM(Q218:R218))</f>
        <v/>
      </c>
      <c r="T218" s="6" t="n"/>
      <c r="U218" s="5">
        <f>IF(T218="","",IF(L218&lt;&gt;"IGEN","IGEN",IF(S218&gt;=T218,"IGEN","NEM")))</f>
        <v/>
      </c>
      <c r="V218" s="5" t="n"/>
      <c r="W218" s="5" t="n"/>
      <c r="X218" s="5" t="n"/>
      <c r="Y218" s="5" t="n"/>
      <c r="Z218" s="5">
        <f>IF(X218="","",IF(COUNTIFS($X$5:$X$304,X218,$I$5:$I$304,"&lt;"&amp;I218)=0,I218,""))</f>
        <v/>
      </c>
      <c r="AA218" s="5">
        <f>IF(X218="","",IF(COUNTIFS($X$5:$X$304,X218,$I$5:$I$304,"&lt;"&amp;I218)&gt;0,"NEM",IF(COUNTIFS($X$5:$X$304,X218,$I$5:$I$304,I218)=1,"IGEN",IF(Y218=1,"IGEN","NEM"))))</f>
        <v/>
      </c>
      <c r="AB218" s="5">
        <f>IF(OR(I218="",J218=""),"",IF(OR(I218=0,V218="IGEN",W218="IGEN"),"X",IF(AND(K218&lt;&gt;"IGEN",L218="IGEN",U218="NEM"),"X",IF(AA218="IGEN",J218,"X"))))</f>
        <v/>
      </c>
      <c r="AC218" s="5">
        <f>IF(AB218="X",0,IF(D218="","",D218))</f>
        <v/>
      </c>
      <c r="AD218" s="5">
        <f>IF(AB218="X",IF(D218="","",D218),0)</f>
        <v/>
      </c>
      <c r="AE218" s="6" t="n"/>
      <c r="AF218" s="6">
        <f>IF(E218="","",SUMIFS($AI$5:AI218,$E$5:E218,E218)-AI218)</f>
        <v/>
      </c>
      <c r="AG218" s="6">
        <f>IF(AE218="","",MAX(0,AE218-AF218))</f>
        <v/>
      </c>
      <c r="AH218" s="6">
        <f>IF(S218="","",IF(OR(I218=0,V218="IGEN",W218="IGEN"),0,IF(AND(K218&lt;&gt;"IGEN",L218="IGEN",U218="NEM"),0,S218)))</f>
        <v/>
      </c>
      <c r="AI218" s="6">
        <f>IF(AH218="","",IF(M218="IGEN",MIN(AH218,AG218),AH218))</f>
        <v/>
      </c>
      <c r="AJ218" s="5" t="n"/>
    </row>
    <row r="219">
      <c r="A219" s="5" t="n"/>
      <c r="B219" s="5" t="n"/>
      <c r="C219" s="5" t="n"/>
      <c r="D219" s="5">
        <f>IF(AND(B219&lt;&gt;"",C219&lt;&gt;""),C219-B219+1,"")</f>
        <v/>
      </c>
      <c r="E219" s="5">
        <f>IF(B219&lt;&gt;"",YEAR(B219),"")</f>
        <v/>
      </c>
      <c r="F219" s="6" t="n"/>
      <c r="G219" s="6" t="n"/>
      <c r="H219" s="6" t="n"/>
      <c r="I219" s="5">
        <f>IF(H219="","",IFERROR(INDEX(Szabályok!$B$13:$B$200,MATCH(H219,Szabályok!$A$13:$A$200,0)),""))</f>
        <v/>
      </c>
      <c r="J219" s="5">
        <f>IF(H219="","",IFERROR(INDEX(Szabályok!$C$13:$C$200,MATCH(H219,Szabályok!$A$13:$A$200,0)),""))</f>
        <v/>
      </c>
      <c r="K219" s="5">
        <f>IF(H219="","",IFERROR(INDEX(Szabályok!$D$13:$D$200,MATCH(H219,Szabályok!$A$13:$A$200,0)),""))</f>
        <v/>
      </c>
      <c r="L219" s="5">
        <f>IF(H219="","",IFERROR(INDEX(Szabályok!$E$13:$E$200,MATCH(H219,Szabályok!$A$13:$A$200,0)),""))</f>
        <v/>
      </c>
      <c r="M219" s="5">
        <f>IF(H219="","",IFERROR(INDEX(Szabályok!$F$13:$F$200,MATCH(H219,Szabályok!$A$13:$A$200,0)),""))</f>
        <v/>
      </c>
      <c r="N219" s="5">
        <f>IF(H219="","",IFERROR(INDEX(Szabályok!$G$13:$G$200,MATCH(H219,Szabályok!$A$13:$A$200,0)),""))</f>
        <v/>
      </c>
      <c r="O219" s="5">
        <f>IF(H219="","",IFERROR(INDEX(Szabályok!$H$13:$H$200,MATCH(H219,Szabályok!$A$13:$A$200,0)),""))</f>
        <v/>
      </c>
      <c r="P219" s="5" t="n"/>
      <c r="Q219" s="6" t="n"/>
      <c r="R219" s="6" t="n"/>
      <c r="S219" s="6">
        <f>IF(COUNT(Q219:R219)=0,"",SUM(Q219:R219))</f>
        <v/>
      </c>
      <c r="T219" s="6" t="n"/>
      <c r="U219" s="5">
        <f>IF(T219="","",IF(L219&lt;&gt;"IGEN","IGEN",IF(S219&gt;=T219,"IGEN","NEM")))</f>
        <v/>
      </c>
      <c r="V219" s="5" t="n"/>
      <c r="W219" s="5" t="n"/>
      <c r="X219" s="5" t="n"/>
      <c r="Y219" s="5" t="n"/>
      <c r="Z219" s="5">
        <f>IF(X219="","",IF(COUNTIFS($X$5:$X$304,X219,$I$5:$I$304,"&lt;"&amp;I219)=0,I219,""))</f>
        <v/>
      </c>
      <c r="AA219" s="5">
        <f>IF(X219="","",IF(COUNTIFS($X$5:$X$304,X219,$I$5:$I$304,"&lt;"&amp;I219)&gt;0,"NEM",IF(COUNTIFS($X$5:$X$304,X219,$I$5:$I$304,I219)=1,"IGEN",IF(Y219=1,"IGEN","NEM"))))</f>
        <v/>
      </c>
      <c r="AB219" s="5">
        <f>IF(OR(I219="",J219=""),"",IF(OR(I219=0,V219="IGEN",W219="IGEN"),"X",IF(AND(K219&lt;&gt;"IGEN",L219="IGEN",U219="NEM"),"X",IF(AA219="IGEN",J219,"X"))))</f>
        <v/>
      </c>
      <c r="AC219" s="5">
        <f>IF(AB219="X",0,IF(D219="","",D219))</f>
        <v/>
      </c>
      <c r="AD219" s="5">
        <f>IF(AB219="X",IF(D219="","",D219),0)</f>
        <v/>
      </c>
      <c r="AE219" s="6" t="n"/>
      <c r="AF219" s="6">
        <f>IF(E219="","",SUMIFS($AI$5:AI219,$E$5:E219,E219)-AI219)</f>
        <v/>
      </c>
      <c r="AG219" s="6">
        <f>IF(AE219="","",MAX(0,AE219-AF219))</f>
        <v/>
      </c>
      <c r="AH219" s="6">
        <f>IF(S219="","",IF(OR(I219=0,V219="IGEN",W219="IGEN"),0,IF(AND(K219&lt;&gt;"IGEN",L219="IGEN",U219="NEM"),0,S219)))</f>
        <v/>
      </c>
      <c r="AI219" s="6">
        <f>IF(AH219="","",IF(M219="IGEN",MIN(AH219,AG219),AH219))</f>
        <v/>
      </c>
      <c r="AJ219" s="5" t="n"/>
    </row>
    <row r="220">
      <c r="A220" s="5" t="n"/>
      <c r="B220" s="5" t="n"/>
      <c r="C220" s="5" t="n"/>
      <c r="D220" s="5">
        <f>IF(AND(B220&lt;&gt;"",C220&lt;&gt;""),C220-B220+1,"")</f>
        <v/>
      </c>
      <c r="E220" s="5">
        <f>IF(B220&lt;&gt;"",YEAR(B220),"")</f>
        <v/>
      </c>
      <c r="F220" s="6" t="n"/>
      <c r="G220" s="6" t="n"/>
      <c r="H220" s="6" t="n"/>
      <c r="I220" s="5">
        <f>IF(H220="","",IFERROR(INDEX(Szabályok!$B$13:$B$200,MATCH(H220,Szabályok!$A$13:$A$200,0)),""))</f>
        <v/>
      </c>
      <c r="J220" s="5">
        <f>IF(H220="","",IFERROR(INDEX(Szabályok!$C$13:$C$200,MATCH(H220,Szabályok!$A$13:$A$200,0)),""))</f>
        <v/>
      </c>
      <c r="K220" s="5">
        <f>IF(H220="","",IFERROR(INDEX(Szabályok!$D$13:$D$200,MATCH(H220,Szabályok!$A$13:$A$200,0)),""))</f>
        <v/>
      </c>
      <c r="L220" s="5">
        <f>IF(H220="","",IFERROR(INDEX(Szabályok!$E$13:$E$200,MATCH(H220,Szabályok!$A$13:$A$200,0)),""))</f>
        <v/>
      </c>
      <c r="M220" s="5">
        <f>IF(H220="","",IFERROR(INDEX(Szabályok!$F$13:$F$200,MATCH(H220,Szabályok!$A$13:$A$200,0)),""))</f>
        <v/>
      </c>
      <c r="N220" s="5">
        <f>IF(H220="","",IFERROR(INDEX(Szabályok!$G$13:$G$200,MATCH(H220,Szabályok!$A$13:$A$200,0)),""))</f>
        <v/>
      </c>
      <c r="O220" s="5">
        <f>IF(H220="","",IFERROR(INDEX(Szabályok!$H$13:$H$200,MATCH(H220,Szabályok!$A$13:$A$200,0)),""))</f>
        <v/>
      </c>
      <c r="P220" s="5" t="n"/>
      <c r="Q220" s="6" t="n"/>
      <c r="R220" s="6" t="n"/>
      <c r="S220" s="6">
        <f>IF(COUNT(Q220:R220)=0,"",SUM(Q220:R220))</f>
        <v/>
      </c>
      <c r="T220" s="6" t="n"/>
      <c r="U220" s="5">
        <f>IF(T220="","",IF(L220&lt;&gt;"IGEN","IGEN",IF(S220&gt;=T220,"IGEN","NEM")))</f>
        <v/>
      </c>
      <c r="V220" s="5" t="n"/>
      <c r="W220" s="5" t="n"/>
      <c r="X220" s="5" t="n"/>
      <c r="Y220" s="5" t="n"/>
      <c r="Z220" s="5">
        <f>IF(X220="","",IF(COUNTIFS($X$5:$X$304,X220,$I$5:$I$304,"&lt;"&amp;I220)=0,I220,""))</f>
        <v/>
      </c>
      <c r="AA220" s="5">
        <f>IF(X220="","",IF(COUNTIFS($X$5:$X$304,X220,$I$5:$I$304,"&lt;"&amp;I220)&gt;0,"NEM",IF(COUNTIFS($X$5:$X$304,X220,$I$5:$I$304,I220)=1,"IGEN",IF(Y220=1,"IGEN","NEM"))))</f>
        <v/>
      </c>
      <c r="AB220" s="5">
        <f>IF(OR(I220="",J220=""),"",IF(OR(I220=0,V220="IGEN",W220="IGEN"),"X",IF(AND(K220&lt;&gt;"IGEN",L220="IGEN",U220="NEM"),"X",IF(AA220="IGEN",J220,"X"))))</f>
        <v/>
      </c>
      <c r="AC220" s="5">
        <f>IF(AB220="X",0,IF(D220="","",D220))</f>
        <v/>
      </c>
      <c r="AD220" s="5">
        <f>IF(AB220="X",IF(D220="","",D220),0)</f>
        <v/>
      </c>
      <c r="AE220" s="6" t="n"/>
      <c r="AF220" s="6">
        <f>IF(E220="","",SUMIFS($AI$5:AI220,$E$5:E220,E220)-AI220)</f>
        <v/>
      </c>
      <c r="AG220" s="6">
        <f>IF(AE220="","",MAX(0,AE220-AF220))</f>
        <v/>
      </c>
      <c r="AH220" s="6">
        <f>IF(S220="","",IF(OR(I220=0,V220="IGEN",W220="IGEN"),0,IF(AND(K220&lt;&gt;"IGEN",L220="IGEN",U220="NEM"),0,S220)))</f>
        <v/>
      </c>
      <c r="AI220" s="6">
        <f>IF(AH220="","",IF(M220="IGEN",MIN(AH220,AG220),AH220))</f>
        <v/>
      </c>
      <c r="AJ220" s="5" t="n"/>
    </row>
    <row r="221">
      <c r="A221" s="5" t="n"/>
      <c r="B221" s="5" t="n"/>
      <c r="C221" s="5" t="n"/>
      <c r="D221" s="5">
        <f>IF(AND(B221&lt;&gt;"",C221&lt;&gt;""),C221-B221+1,"")</f>
        <v/>
      </c>
      <c r="E221" s="5">
        <f>IF(B221&lt;&gt;"",YEAR(B221),"")</f>
        <v/>
      </c>
      <c r="F221" s="6" t="n"/>
      <c r="G221" s="6" t="n"/>
      <c r="H221" s="6" t="n"/>
      <c r="I221" s="5">
        <f>IF(H221="","",IFERROR(INDEX(Szabályok!$B$13:$B$200,MATCH(H221,Szabályok!$A$13:$A$200,0)),""))</f>
        <v/>
      </c>
      <c r="J221" s="5">
        <f>IF(H221="","",IFERROR(INDEX(Szabályok!$C$13:$C$200,MATCH(H221,Szabályok!$A$13:$A$200,0)),""))</f>
        <v/>
      </c>
      <c r="K221" s="5">
        <f>IF(H221="","",IFERROR(INDEX(Szabályok!$D$13:$D$200,MATCH(H221,Szabályok!$A$13:$A$200,0)),""))</f>
        <v/>
      </c>
      <c r="L221" s="5">
        <f>IF(H221="","",IFERROR(INDEX(Szabályok!$E$13:$E$200,MATCH(H221,Szabályok!$A$13:$A$200,0)),""))</f>
        <v/>
      </c>
      <c r="M221" s="5">
        <f>IF(H221="","",IFERROR(INDEX(Szabályok!$F$13:$F$200,MATCH(H221,Szabályok!$A$13:$A$200,0)),""))</f>
        <v/>
      </c>
      <c r="N221" s="5">
        <f>IF(H221="","",IFERROR(INDEX(Szabályok!$G$13:$G$200,MATCH(H221,Szabályok!$A$13:$A$200,0)),""))</f>
        <v/>
      </c>
      <c r="O221" s="5">
        <f>IF(H221="","",IFERROR(INDEX(Szabályok!$H$13:$H$200,MATCH(H221,Szabályok!$A$13:$A$200,0)),""))</f>
        <v/>
      </c>
      <c r="P221" s="5" t="n"/>
      <c r="Q221" s="6" t="n"/>
      <c r="R221" s="6" t="n"/>
      <c r="S221" s="6">
        <f>IF(COUNT(Q221:R221)=0,"",SUM(Q221:R221))</f>
        <v/>
      </c>
      <c r="T221" s="6" t="n"/>
      <c r="U221" s="5">
        <f>IF(T221="","",IF(L221&lt;&gt;"IGEN","IGEN",IF(S221&gt;=T221,"IGEN","NEM")))</f>
        <v/>
      </c>
      <c r="V221" s="5" t="n"/>
      <c r="W221" s="5" t="n"/>
      <c r="X221" s="5" t="n"/>
      <c r="Y221" s="5" t="n"/>
      <c r="Z221" s="5">
        <f>IF(X221="","",IF(COUNTIFS($X$5:$X$304,X221,$I$5:$I$304,"&lt;"&amp;I221)=0,I221,""))</f>
        <v/>
      </c>
      <c r="AA221" s="5">
        <f>IF(X221="","",IF(COUNTIFS($X$5:$X$304,X221,$I$5:$I$304,"&lt;"&amp;I221)&gt;0,"NEM",IF(COUNTIFS($X$5:$X$304,X221,$I$5:$I$304,I221)=1,"IGEN",IF(Y221=1,"IGEN","NEM"))))</f>
        <v/>
      </c>
      <c r="AB221" s="5">
        <f>IF(OR(I221="",J221=""),"",IF(OR(I221=0,V221="IGEN",W221="IGEN"),"X",IF(AND(K221&lt;&gt;"IGEN",L221="IGEN",U221="NEM"),"X",IF(AA221="IGEN",J221,"X"))))</f>
        <v/>
      </c>
      <c r="AC221" s="5">
        <f>IF(AB221="X",0,IF(D221="","",D221))</f>
        <v/>
      </c>
      <c r="AD221" s="5">
        <f>IF(AB221="X",IF(D221="","",D221),0)</f>
        <v/>
      </c>
      <c r="AE221" s="6" t="n"/>
      <c r="AF221" s="6">
        <f>IF(E221="","",SUMIFS($AI$5:AI221,$E$5:E221,E221)-AI221)</f>
        <v/>
      </c>
      <c r="AG221" s="6">
        <f>IF(AE221="","",MAX(0,AE221-AF221))</f>
        <v/>
      </c>
      <c r="AH221" s="6">
        <f>IF(S221="","",IF(OR(I221=0,V221="IGEN",W221="IGEN"),0,IF(AND(K221&lt;&gt;"IGEN",L221="IGEN",U221="NEM"),0,S221)))</f>
        <v/>
      </c>
      <c r="AI221" s="6">
        <f>IF(AH221="","",IF(M221="IGEN",MIN(AH221,AG221),AH221))</f>
        <v/>
      </c>
      <c r="AJ221" s="5" t="n"/>
    </row>
    <row r="222">
      <c r="A222" s="5" t="n"/>
      <c r="B222" s="5" t="n"/>
      <c r="C222" s="5" t="n"/>
      <c r="D222" s="5">
        <f>IF(AND(B222&lt;&gt;"",C222&lt;&gt;""),C222-B222+1,"")</f>
        <v/>
      </c>
      <c r="E222" s="5">
        <f>IF(B222&lt;&gt;"",YEAR(B222),"")</f>
        <v/>
      </c>
      <c r="F222" s="6" t="n"/>
      <c r="G222" s="6" t="n"/>
      <c r="H222" s="6" t="n"/>
      <c r="I222" s="5">
        <f>IF(H222="","",IFERROR(INDEX(Szabályok!$B$13:$B$200,MATCH(H222,Szabályok!$A$13:$A$200,0)),""))</f>
        <v/>
      </c>
      <c r="J222" s="5">
        <f>IF(H222="","",IFERROR(INDEX(Szabályok!$C$13:$C$200,MATCH(H222,Szabályok!$A$13:$A$200,0)),""))</f>
        <v/>
      </c>
      <c r="K222" s="5">
        <f>IF(H222="","",IFERROR(INDEX(Szabályok!$D$13:$D$200,MATCH(H222,Szabályok!$A$13:$A$200,0)),""))</f>
        <v/>
      </c>
      <c r="L222" s="5">
        <f>IF(H222="","",IFERROR(INDEX(Szabályok!$E$13:$E$200,MATCH(H222,Szabályok!$A$13:$A$200,0)),""))</f>
        <v/>
      </c>
      <c r="M222" s="5">
        <f>IF(H222="","",IFERROR(INDEX(Szabályok!$F$13:$F$200,MATCH(H222,Szabályok!$A$13:$A$200,0)),""))</f>
        <v/>
      </c>
      <c r="N222" s="5">
        <f>IF(H222="","",IFERROR(INDEX(Szabályok!$G$13:$G$200,MATCH(H222,Szabályok!$A$13:$A$200,0)),""))</f>
        <v/>
      </c>
      <c r="O222" s="5">
        <f>IF(H222="","",IFERROR(INDEX(Szabályok!$H$13:$H$200,MATCH(H222,Szabályok!$A$13:$A$200,0)),""))</f>
        <v/>
      </c>
      <c r="P222" s="5" t="n"/>
      <c r="Q222" s="6" t="n"/>
      <c r="R222" s="6" t="n"/>
      <c r="S222" s="6">
        <f>IF(COUNT(Q222:R222)=0,"",SUM(Q222:R222))</f>
        <v/>
      </c>
      <c r="T222" s="6" t="n"/>
      <c r="U222" s="5">
        <f>IF(T222="","",IF(L222&lt;&gt;"IGEN","IGEN",IF(S222&gt;=T222,"IGEN","NEM")))</f>
        <v/>
      </c>
      <c r="V222" s="5" t="n"/>
      <c r="W222" s="5" t="n"/>
      <c r="X222" s="5" t="n"/>
      <c r="Y222" s="5" t="n"/>
      <c r="Z222" s="5">
        <f>IF(X222="","",IF(COUNTIFS($X$5:$X$304,X222,$I$5:$I$304,"&lt;"&amp;I222)=0,I222,""))</f>
        <v/>
      </c>
      <c r="AA222" s="5">
        <f>IF(X222="","",IF(COUNTIFS($X$5:$X$304,X222,$I$5:$I$304,"&lt;"&amp;I222)&gt;0,"NEM",IF(COUNTIFS($X$5:$X$304,X222,$I$5:$I$304,I222)=1,"IGEN",IF(Y222=1,"IGEN","NEM"))))</f>
        <v/>
      </c>
      <c r="AB222" s="5">
        <f>IF(OR(I222="",J222=""),"",IF(OR(I222=0,V222="IGEN",W222="IGEN"),"X",IF(AND(K222&lt;&gt;"IGEN",L222="IGEN",U222="NEM"),"X",IF(AA222="IGEN",J222,"X"))))</f>
        <v/>
      </c>
      <c r="AC222" s="5">
        <f>IF(AB222="X",0,IF(D222="","",D222))</f>
        <v/>
      </c>
      <c r="AD222" s="5">
        <f>IF(AB222="X",IF(D222="","",D222),0)</f>
        <v/>
      </c>
      <c r="AE222" s="6" t="n"/>
      <c r="AF222" s="6">
        <f>IF(E222="","",SUMIFS($AI$5:AI222,$E$5:E222,E222)-AI222)</f>
        <v/>
      </c>
      <c r="AG222" s="6">
        <f>IF(AE222="","",MAX(0,AE222-AF222))</f>
        <v/>
      </c>
      <c r="AH222" s="6">
        <f>IF(S222="","",IF(OR(I222=0,V222="IGEN",W222="IGEN"),0,IF(AND(K222&lt;&gt;"IGEN",L222="IGEN",U222="NEM"),0,S222)))</f>
        <v/>
      </c>
      <c r="AI222" s="6">
        <f>IF(AH222="","",IF(M222="IGEN",MIN(AH222,AG222),AH222))</f>
        <v/>
      </c>
      <c r="AJ222" s="5" t="n"/>
    </row>
    <row r="223">
      <c r="A223" s="5" t="n"/>
      <c r="B223" s="5" t="n"/>
      <c r="C223" s="5" t="n"/>
      <c r="D223" s="5">
        <f>IF(AND(B223&lt;&gt;"",C223&lt;&gt;""),C223-B223+1,"")</f>
        <v/>
      </c>
      <c r="E223" s="5">
        <f>IF(B223&lt;&gt;"",YEAR(B223),"")</f>
        <v/>
      </c>
      <c r="F223" s="6" t="n"/>
      <c r="G223" s="6" t="n"/>
      <c r="H223" s="6" t="n"/>
      <c r="I223" s="5">
        <f>IF(H223="","",IFERROR(INDEX(Szabályok!$B$13:$B$200,MATCH(H223,Szabályok!$A$13:$A$200,0)),""))</f>
        <v/>
      </c>
      <c r="J223" s="5">
        <f>IF(H223="","",IFERROR(INDEX(Szabályok!$C$13:$C$200,MATCH(H223,Szabályok!$A$13:$A$200,0)),""))</f>
        <v/>
      </c>
      <c r="K223" s="5">
        <f>IF(H223="","",IFERROR(INDEX(Szabályok!$D$13:$D$200,MATCH(H223,Szabályok!$A$13:$A$200,0)),""))</f>
        <v/>
      </c>
      <c r="L223" s="5">
        <f>IF(H223="","",IFERROR(INDEX(Szabályok!$E$13:$E$200,MATCH(H223,Szabályok!$A$13:$A$200,0)),""))</f>
        <v/>
      </c>
      <c r="M223" s="5">
        <f>IF(H223="","",IFERROR(INDEX(Szabályok!$F$13:$F$200,MATCH(H223,Szabályok!$A$13:$A$200,0)),""))</f>
        <v/>
      </c>
      <c r="N223" s="5">
        <f>IF(H223="","",IFERROR(INDEX(Szabályok!$G$13:$G$200,MATCH(H223,Szabályok!$A$13:$A$200,0)),""))</f>
        <v/>
      </c>
      <c r="O223" s="5">
        <f>IF(H223="","",IFERROR(INDEX(Szabályok!$H$13:$H$200,MATCH(H223,Szabályok!$A$13:$A$200,0)),""))</f>
        <v/>
      </c>
      <c r="P223" s="5" t="n"/>
      <c r="Q223" s="6" t="n"/>
      <c r="R223" s="6" t="n"/>
      <c r="S223" s="6">
        <f>IF(COUNT(Q223:R223)=0,"",SUM(Q223:R223))</f>
        <v/>
      </c>
      <c r="T223" s="6" t="n"/>
      <c r="U223" s="5">
        <f>IF(T223="","",IF(L223&lt;&gt;"IGEN","IGEN",IF(S223&gt;=T223,"IGEN","NEM")))</f>
        <v/>
      </c>
      <c r="V223" s="5" t="n"/>
      <c r="W223" s="5" t="n"/>
      <c r="X223" s="5" t="n"/>
      <c r="Y223" s="5" t="n"/>
      <c r="Z223" s="5">
        <f>IF(X223="","",IF(COUNTIFS($X$5:$X$304,X223,$I$5:$I$304,"&lt;"&amp;I223)=0,I223,""))</f>
        <v/>
      </c>
      <c r="AA223" s="5">
        <f>IF(X223="","",IF(COUNTIFS($X$5:$X$304,X223,$I$5:$I$304,"&lt;"&amp;I223)&gt;0,"NEM",IF(COUNTIFS($X$5:$X$304,X223,$I$5:$I$304,I223)=1,"IGEN",IF(Y223=1,"IGEN","NEM"))))</f>
        <v/>
      </c>
      <c r="AB223" s="5">
        <f>IF(OR(I223="",J223=""),"",IF(OR(I223=0,V223="IGEN",W223="IGEN"),"X",IF(AND(K223&lt;&gt;"IGEN",L223="IGEN",U223="NEM"),"X",IF(AA223="IGEN",J223,"X"))))</f>
        <v/>
      </c>
      <c r="AC223" s="5">
        <f>IF(AB223="X",0,IF(D223="","",D223))</f>
        <v/>
      </c>
      <c r="AD223" s="5">
        <f>IF(AB223="X",IF(D223="","",D223),0)</f>
        <v/>
      </c>
      <c r="AE223" s="6" t="n"/>
      <c r="AF223" s="6">
        <f>IF(E223="","",SUMIFS($AI$5:AI223,$E$5:E223,E223)-AI223)</f>
        <v/>
      </c>
      <c r="AG223" s="6">
        <f>IF(AE223="","",MAX(0,AE223-AF223))</f>
        <v/>
      </c>
      <c r="AH223" s="6">
        <f>IF(S223="","",IF(OR(I223=0,V223="IGEN",W223="IGEN"),0,IF(AND(K223&lt;&gt;"IGEN",L223="IGEN",U223="NEM"),0,S223)))</f>
        <v/>
      </c>
      <c r="AI223" s="6">
        <f>IF(AH223="","",IF(M223="IGEN",MIN(AH223,AG223),AH223))</f>
        <v/>
      </c>
      <c r="AJ223" s="5" t="n"/>
    </row>
    <row r="224">
      <c r="A224" s="5" t="n"/>
      <c r="B224" s="5" t="n"/>
      <c r="C224" s="5" t="n"/>
      <c r="D224" s="5">
        <f>IF(AND(B224&lt;&gt;"",C224&lt;&gt;""),C224-B224+1,"")</f>
        <v/>
      </c>
      <c r="E224" s="5">
        <f>IF(B224&lt;&gt;"",YEAR(B224),"")</f>
        <v/>
      </c>
      <c r="F224" s="6" t="n"/>
      <c r="G224" s="6" t="n"/>
      <c r="H224" s="6" t="n"/>
      <c r="I224" s="5">
        <f>IF(H224="","",IFERROR(INDEX(Szabályok!$B$13:$B$200,MATCH(H224,Szabályok!$A$13:$A$200,0)),""))</f>
        <v/>
      </c>
      <c r="J224" s="5">
        <f>IF(H224="","",IFERROR(INDEX(Szabályok!$C$13:$C$200,MATCH(H224,Szabályok!$A$13:$A$200,0)),""))</f>
        <v/>
      </c>
      <c r="K224" s="5">
        <f>IF(H224="","",IFERROR(INDEX(Szabályok!$D$13:$D$200,MATCH(H224,Szabályok!$A$13:$A$200,0)),""))</f>
        <v/>
      </c>
      <c r="L224" s="5">
        <f>IF(H224="","",IFERROR(INDEX(Szabályok!$E$13:$E$200,MATCH(H224,Szabályok!$A$13:$A$200,0)),""))</f>
        <v/>
      </c>
      <c r="M224" s="5">
        <f>IF(H224="","",IFERROR(INDEX(Szabályok!$F$13:$F$200,MATCH(H224,Szabályok!$A$13:$A$200,0)),""))</f>
        <v/>
      </c>
      <c r="N224" s="5">
        <f>IF(H224="","",IFERROR(INDEX(Szabályok!$G$13:$G$200,MATCH(H224,Szabályok!$A$13:$A$200,0)),""))</f>
        <v/>
      </c>
      <c r="O224" s="5">
        <f>IF(H224="","",IFERROR(INDEX(Szabályok!$H$13:$H$200,MATCH(H224,Szabályok!$A$13:$A$200,0)),""))</f>
        <v/>
      </c>
      <c r="P224" s="5" t="n"/>
      <c r="Q224" s="6" t="n"/>
      <c r="R224" s="6" t="n"/>
      <c r="S224" s="6">
        <f>IF(COUNT(Q224:R224)=0,"",SUM(Q224:R224))</f>
        <v/>
      </c>
      <c r="T224" s="6" t="n"/>
      <c r="U224" s="5">
        <f>IF(T224="","",IF(L224&lt;&gt;"IGEN","IGEN",IF(S224&gt;=T224,"IGEN","NEM")))</f>
        <v/>
      </c>
      <c r="V224" s="5" t="n"/>
      <c r="W224" s="5" t="n"/>
      <c r="X224" s="5" t="n"/>
      <c r="Y224" s="5" t="n"/>
      <c r="Z224" s="5">
        <f>IF(X224="","",IF(COUNTIFS($X$5:$X$304,X224,$I$5:$I$304,"&lt;"&amp;I224)=0,I224,""))</f>
        <v/>
      </c>
      <c r="AA224" s="5">
        <f>IF(X224="","",IF(COUNTIFS($X$5:$X$304,X224,$I$5:$I$304,"&lt;"&amp;I224)&gt;0,"NEM",IF(COUNTIFS($X$5:$X$304,X224,$I$5:$I$304,I224)=1,"IGEN",IF(Y224=1,"IGEN","NEM"))))</f>
        <v/>
      </c>
      <c r="AB224" s="5">
        <f>IF(OR(I224="",J224=""),"",IF(OR(I224=0,V224="IGEN",W224="IGEN"),"X",IF(AND(K224&lt;&gt;"IGEN",L224="IGEN",U224="NEM"),"X",IF(AA224="IGEN",J224,"X"))))</f>
        <v/>
      </c>
      <c r="AC224" s="5">
        <f>IF(AB224="X",0,IF(D224="","",D224))</f>
        <v/>
      </c>
      <c r="AD224" s="5">
        <f>IF(AB224="X",IF(D224="","",D224),0)</f>
        <v/>
      </c>
      <c r="AE224" s="6" t="n"/>
      <c r="AF224" s="6">
        <f>IF(E224="","",SUMIFS($AI$5:AI224,$E$5:E224,E224)-AI224)</f>
        <v/>
      </c>
      <c r="AG224" s="6">
        <f>IF(AE224="","",MAX(0,AE224-AF224))</f>
        <v/>
      </c>
      <c r="AH224" s="6">
        <f>IF(S224="","",IF(OR(I224=0,V224="IGEN",W224="IGEN"),0,IF(AND(K224&lt;&gt;"IGEN",L224="IGEN",U224="NEM"),0,S224)))</f>
        <v/>
      </c>
      <c r="AI224" s="6">
        <f>IF(AH224="","",IF(M224="IGEN",MIN(AH224,AG224),AH224))</f>
        <v/>
      </c>
      <c r="AJ224" s="5" t="n"/>
    </row>
    <row r="225">
      <c r="A225" s="5" t="n"/>
      <c r="B225" s="5" t="n"/>
      <c r="C225" s="5" t="n"/>
      <c r="D225" s="5">
        <f>IF(AND(B225&lt;&gt;"",C225&lt;&gt;""),C225-B225+1,"")</f>
        <v/>
      </c>
      <c r="E225" s="5">
        <f>IF(B225&lt;&gt;"",YEAR(B225),"")</f>
        <v/>
      </c>
      <c r="F225" s="6" t="n"/>
      <c r="G225" s="6" t="n"/>
      <c r="H225" s="6" t="n"/>
      <c r="I225" s="5">
        <f>IF(H225="","",IFERROR(INDEX(Szabályok!$B$13:$B$200,MATCH(H225,Szabályok!$A$13:$A$200,0)),""))</f>
        <v/>
      </c>
      <c r="J225" s="5">
        <f>IF(H225="","",IFERROR(INDEX(Szabályok!$C$13:$C$200,MATCH(H225,Szabályok!$A$13:$A$200,0)),""))</f>
        <v/>
      </c>
      <c r="K225" s="5">
        <f>IF(H225="","",IFERROR(INDEX(Szabályok!$D$13:$D$200,MATCH(H225,Szabályok!$A$13:$A$200,0)),""))</f>
        <v/>
      </c>
      <c r="L225" s="5">
        <f>IF(H225="","",IFERROR(INDEX(Szabályok!$E$13:$E$200,MATCH(H225,Szabályok!$A$13:$A$200,0)),""))</f>
        <v/>
      </c>
      <c r="M225" s="5">
        <f>IF(H225="","",IFERROR(INDEX(Szabályok!$F$13:$F$200,MATCH(H225,Szabályok!$A$13:$A$200,0)),""))</f>
        <v/>
      </c>
      <c r="N225" s="5">
        <f>IF(H225="","",IFERROR(INDEX(Szabályok!$G$13:$G$200,MATCH(H225,Szabályok!$A$13:$A$200,0)),""))</f>
        <v/>
      </c>
      <c r="O225" s="5">
        <f>IF(H225="","",IFERROR(INDEX(Szabályok!$H$13:$H$200,MATCH(H225,Szabályok!$A$13:$A$200,0)),""))</f>
        <v/>
      </c>
      <c r="P225" s="5" t="n"/>
      <c r="Q225" s="6" t="n"/>
      <c r="R225" s="6" t="n"/>
      <c r="S225" s="6">
        <f>IF(COUNT(Q225:R225)=0,"",SUM(Q225:R225))</f>
        <v/>
      </c>
      <c r="T225" s="6" t="n"/>
      <c r="U225" s="5">
        <f>IF(T225="","",IF(L225&lt;&gt;"IGEN","IGEN",IF(S225&gt;=T225,"IGEN","NEM")))</f>
        <v/>
      </c>
      <c r="V225" s="5" t="n"/>
      <c r="W225" s="5" t="n"/>
      <c r="X225" s="5" t="n"/>
      <c r="Y225" s="5" t="n"/>
      <c r="Z225" s="5">
        <f>IF(X225="","",IF(COUNTIFS($X$5:$X$304,X225,$I$5:$I$304,"&lt;"&amp;I225)=0,I225,""))</f>
        <v/>
      </c>
      <c r="AA225" s="5">
        <f>IF(X225="","",IF(COUNTIFS($X$5:$X$304,X225,$I$5:$I$304,"&lt;"&amp;I225)&gt;0,"NEM",IF(COUNTIFS($X$5:$X$304,X225,$I$5:$I$304,I225)=1,"IGEN",IF(Y225=1,"IGEN","NEM"))))</f>
        <v/>
      </c>
      <c r="AB225" s="5">
        <f>IF(OR(I225="",J225=""),"",IF(OR(I225=0,V225="IGEN",W225="IGEN"),"X",IF(AND(K225&lt;&gt;"IGEN",L225="IGEN",U225="NEM"),"X",IF(AA225="IGEN",J225,"X"))))</f>
        <v/>
      </c>
      <c r="AC225" s="5">
        <f>IF(AB225="X",0,IF(D225="","",D225))</f>
        <v/>
      </c>
      <c r="AD225" s="5">
        <f>IF(AB225="X",IF(D225="","",D225),0)</f>
        <v/>
      </c>
      <c r="AE225" s="6" t="n"/>
      <c r="AF225" s="6">
        <f>IF(E225="","",SUMIFS($AI$5:AI225,$E$5:E225,E225)-AI225)</f>
        <v/>
      </c>
      <c r="AG225" s="6">
        <f>IF(AE225="","",MAX(0,AE225-AF225))</f>
        <v/>
      </c>
      <c r="AH225" s="6">
        <f>IF(S225="","",IF(OR(I225=0,V225="IGEN",W225="IGEN"),0,IF(AND(K225&lt;&gt;"IGEN",L225="IGEN",U225="NEM"),0,S225)))</f>
        <v/>
      </c>
      <c r="AI225" s="6">
        <f>IF(AH225="","",IF(M225="IGEN",MIN(AH225,AG225),AH225))</f>
        <v/>
      </c>
      <c r="AJ225" s="5" t="n"/>
    </row>
    <row r="226">
      <c r="A226" s="5" t="n"/>
      <c r="B226" s="5" t="n"/>
      <c r="C226" s="5" t="n"/>
      <c r="D226" s="5">
        <f>IF(AND(B226&lt;&gt;"",C226&lt;&gt;""),C226-B226+1,"")</f>
        <v/>
      </c>
      <c r="E226" s="5">
        <f>IF(B226&lt;&gt;"",YEAR(B226),"")</f>
        <v/>
      </c>
      <c r="F226" s="6" t="n"/>
      <c r="G226" s="6" t="n"/>
      <c r="H226" s="6" t="n"/>
      <c r="I226" s="5">
        <f>IF(H226="","",IFERROR(INDEX(Szabályok!$B$13:$B$200,MATCH(H226,Szabályok!$A$13:$A$200,0)),""))</f>
        <v/>
      </c>
      <c r="J226" s="5">
        <f>IF(H226="","",IFERROR(INDEX(Szabályok!$C$13:$C$200,MATCH(H226,Szabályok!$A$13:$A$200,0)),""))</f>
        <v/>
      </c>
      <c r="K226" s="5">
        <f>IF(H226="","",IFERROR(INDEX(Szabályok!$D$13:$D$200,MATCH(H226,Szabályok!$A$13:$A$200,0)),""))</f>
        <v/>
      </c>
      <c r="L226" s="5">
        <f>IF(H226="","",IFERROR(INDEX(Szabályok!$E$13:$E$200,MATCH(H226,Szabályok!$A$13:$A$200,0)),""))</f>
        <v/>
      </c>
      <c r="M226" s="5">
        <f>IF(H226="","",IFERROR(INDEX(Szabályok!$F$13:$F$200,MATCH(H226,Szabályok!$A$13:$A$200,0)),""))</f>
        <v/>
      </c>
      <c r="N226" s="5">
        <f>IF(H226="","",IFERROR(INDEX(Szabályok!$G$13:$G$200,MATCH(H226,Szabályok!$A$13:$A$200,0)),""))</f>
        <v/>
      </c>
      <c r="O226" s="5">
        <f>IF(H226="","",IFERROR(INDEX(Szabályok!$H$13:$H$200,MATCH(H226,Szabályok!$A$13:$A$200,0)),""))</f>
        <v/>
      </c>
      <c r="P226" s="5" t="n"/>
      <c r="Q226" s="6" t="n"/>
      <c r="R226" s="6" t="n"/>
      <c r="S226" s="6">
        <f>IF(COUNT(Q226:R226)=0,"",SUM(Q226:R226))</f>
        <v/>
      </c>
      <c r="T226" s="6" t="n"/>
      <c r="U226" s="5">
        <f>IF(T226="","",IF(L226&lt;&gt;"IGEN","IGEN",IF(S226&gt;=T226,"IGEN","NEM")))</f>
        <v/>
      </c>
      <c r="V226" s="5" t="n"/>
      <c r="W226" s="5" t="n"/>
      <c r="X226" s="5" t="n"/>
      <c r="Y226" s="5" t="n"/>
      <c r="Z226" s="5">
        <f>IF(X226="","",IF(COUNTIFS($X$5:$X$304,X226,$I$5:$I$304,"&lt;"&amp;I226)=0,I226,""))</f>
        <v/>
      </c>
      <c r="AA226" s="5">
        <f>IF(X226="","",IF(COUNTIFS($X$5:$X$304,X226,$I$5:$I$304,"&lt;"&amp;I226)&gt;0,"NEM",IF(COUNTIFS($X$5:$X$304,X226,$I$5:$I$304,I226)=1,"IGEN",IF(Y226=1,"IGEN","NEM"))))</f>
        <v/>
      </c>
      <c r="AB226" s="5">
        <f>IF(OR(I226="",J226=""),"",IF(OR(I226=0,V226="IGEN",W226="IGEN"),"X",IF(AND(K226&lt;&gt;"IGEN",L226="IGEN",U226="NEM"),"X",IF(AA226="IGEN",J226,"X"))))</f>
        <v/>
      </c>
      <c r="AC226" s="5">
        <f>IF(AB226="X",0,IF(D226="","",D226))</f>
        <v/>
      </c>
      <c r="AD226" s="5">
        <f>IF(AB226="X",IF(D226="","",D226),0)</f>
        <v/>
      </c>
      <c r="AE226" s="6" t="n"/>
      <c r="AF226" s="6">
        <f>IF(E226="","",SUMIFS($AI$5:AI226,$E$5:E226,E226)-AI226)</f>
        <v/>
      </c>
      <c r="AG226" s="6">
        <f>IF(AE226="","",MAX(0,AE226-AF226))</f>
        <v/>
      </c>
      <c r="AH226" s="6">
        <f>IF(S226="","",IF(OR(I226=0,V226="IGEN",W226="IGEN"),0,IF(AND(K226&lt;&gt;"IGEN",L226="IGEN",U226="NEM"),0,S226)))</f>
        <v/>
      </c>
      <c r="AI226" s="6">
        <f>IF(AH226="","",IF(M226="IGEN",MIN(AH226,AG226),AH226))</f>
        <v/>
      </c>
      <c r="AJ226" s="5" t="n"/>
    </row>
    <row r="227">
      <c r="A227" s="5" t="n"/>
      <c r="B227" s="5" t="n"/>
      <c r="C227" s="5" t="n"/>
      <c r="D227" s="5">
        <f>IF(AND(B227&lt;&gt;"",C227&lt;&gt;""),C227-B227+1,"")</f>
        <v/>
      </c>
      <c r="E227" s="5">
        <f>IF(B227&lt;&gt;"",YEAR(B227),"")</f>
        <v/>
      </c>
      <c r="F227" s="6" t="n"/>
      <c r="G227" s="6" t="n"/>
      <c r="H227" s="6" t="n"/>
      <c r="I227" s="5">
        <f>IF(H227="","",IFERROR(INDEX(Szabályok!$B$13:$B$200,MATCH(H227,Szabályok!$A$13:$A$200,0)),""))</f>
        <v/>
      </c>
      <c r="J227" s="5">
        <f>IF(H227="","",IFERROR(INDEX(Szabályok!$C$13:$C$200,MATCH(H227,Szabályok!$A$13:$A$200,0)),""))</f>
        <v/>
      </c>
      <c r="K227" s="5">
        <f>IF(H227="","",IFERROR(INDEX(Szabályok!$D$13:$D$200,MATCH(H227,Szabályok!$A$13:$A$200,0)),""))</f>
        <v/>
      </c>
      <c r="L227" s="5">
        <f>IF(H227="","",IFERROR(INDEX(Szabályok!$E$13:$E$200,MATCH(H227,Szabályok!$A$13:$A$200,0)),""))</f>
        <v/>
      </c>
      <c r="M227" s="5">
        <f>IF(H227="","",IFERROR(INDEX(Szabályok!$F$13:$F$200,MATCH(H227,Szabályok!$A$13:$A$200,0)),""))</f>
        <v/>
      </c>
      <c r="N227" s="5">
        <f>IF(H227="","",IFERROR(INDEX(Szabályok!$G$13:$G$200,MATCH(H227,Szabályok!$A$13:$A$200,0)),""))</f>
        <v/>
      </c>
      <c r="O227" s="5">
        <f>IF(H227="","",IFERROR(INDEX(Szabályok!$H$13:$H$200,MATCH(H227,Szabályok!$A$13:$A$200,0)),""))</f>
        <v/>
      </c>
      <c r="P227" s="5" t="n"/>
      <c r="Q227" s="6" t="n"/>
      <c r="R227" s="6" t="n"/>
      <c r="S227" s="6">
        <f>IF(COUNT(Q227:R227)=0,"",SUM(Q227:R227))</f>
        <v/>
      </c>
      <c r="T227" s="6" t="n"/>
      <c r="U227" s="5">
        <f>IF(T227="","",IF(L227&lt;&gt;"IGEN","IGEN",IF(S227&gt;=T227,"IGEN","NEM")))</f>
        <v/>
      </c>
      <c r="V227" s="5" t="n"/>
      <c r="W227" s="5" t="n"/>
      <c r="X227" s="5" t="n"/>
      <c r="Y227" s="5" t="n"/>
      <c r="Z227" s="5">
        <f>IF(X227="","",IF(COUNTIFS($X$5:$X$304,X227,$I$5:$I$304,"&lt;"&amp;I227)=0,I227,""))</f>
        <v/>
      </c>
      <c r="AA227" s="5">
        <f>IF(X227="","",IF(COUNTIFS($X$5:$X$304,X227,$I$5:$I$304,"&lt;"&amp;I227)&gt;0,"NEM",IF(COUNTIFS($X$5:$X$304,X227,$I$5:$I$304,I227)=1,"IGEN",IF(Y227=1,"IGEN","NEM"))))</f>
        <v/>
      </c>
      <c r="AB227" s="5">
        <f>IF(OR(I227="",J227=""),"",IF(OR(I227=0,V227="IGEN",W227="IGEN"),"X",IF(AND(K227&lt;&gt;"IGEN",L227="IGEN",U227="NEM"),"X",IF(AA227="IGEN",J227,"X"))))</f>
        <v/>
      </c>
      <c r="AC227" s="5">
        <f>IF(AB227="X",0,IF(D227="","",D227))</f>
        <v/>
      </c>
      <c r="AD227" s="5">
        <f>IF(AB227="X",IF(D227="","",D227),0)</f>
        <v/>
      </c>
      <c r="AE227" s="6" t="n"/>
      <c r="AF227" s="6">
        <f>IF(E227="","",SUMIFS($AI$5:AI227,$E$5:E227,E227)-AI227)</f>
        <v/>
      </c>
      <c r="AG227" s="6">
        <f>IF(AE227="","",MAX(0,AE227-AF227))</f>
        <v/>
      </c>
      <c r="AH227" s="6">
        <f>IF(S227="","",IF(OR(I227=0,V227="IGEN",W227="IGEN"),0,IF(AND(K227&lt;&gt;"IGEN",L227="IGEN",U227="NEM"),0,S227)))</f>
        <v/>
      </c>
      <c r="AI227" s="6">
        <f>IF(AH227="","",IF(M227="IGEN",MIN(AH227,AG227),AH227))</f>
        <v/>
      </c>
      <c r="AJ227" s="5" t="n"/>
    </row>
    <row r="228">
      <c r="A228" s="5" t="n"/>
      <c r="B228" s="5" t="n"/>
      <c r="C228" s="5" t="n"/>
      <c r="D228" s="5">
        <f>IF(AND(B228&lt;&gt;"",C228&lt;&gt;""),C228-B228+1,"")</f>
        <v/>
      </c>
      <c r="E228" s="5">
        <f>IF(B228&lt;&gt;"",YEAR(B228),"")</f>
        <v/>
      </c>
      <c r="F228" s="6" t="n"/>
      <c r="G228" s="6" t="n"/>
      <c r="H228" s="6" t="n"/>
      <c r="I228" s="5">
        <f>IF(H228="","",IFERROR(INDEX(Szabályok!$B$13:$B$200,MATCH(H228,Szabályok!$A$13:$A$200,0)),""))</f>
        <v/>
      </c>
      <c r="J228" s="5">
        <f>IF(H228="","",IFERROR(INDEX(Szabályok!$C$13:$C$200,MATCH(H228,Szabályok!$A$13:$A$200,0)),""))</f>
        <v/>
      </c>
      <c r="K228" s="5">
        <f>IF(H228="","",IFERROR(INDEX(Szabályok!$D$13:$D$200,MATCH(H228,Szabályok!$A$13:$A$200,0)),""))</f>
        <v/>
      </c>
      <c r="L228" s="5">
        <f>IF(H228="","",IFERROR(INDEX(Szabályok!$E$13:$E$200,MATCH(H228,Szabályok!$A$13:$A$200,0)),""))</f>
        <v/>
      </c>
      <c r="M228" s="5">
        <f>IF(H228="","",IFERROR(INDEX(Szabályok!$F$13:$F$200,MATCH(H228,Szabályok!$A$13:$A$200,0)),""))</f>
        <v/>
      </c>
      <c r="N228" s="5">
        <f>IF(H228="","",IFERROR(INDEX(Szabályok!$G$13:$G$200,MATCH(H228,Szabályok!$A$13:$A$200,0)),""))</f>
        <v/>
      </c>
      <c r="O228" s="5">
        <f>IF(H228="","",IFERROR(INDEX(Szabályok!$H$13:$H$200,MATCH(H228,Szabályok!$A$13:$A$200,0)),""))</f>
        <v/>
      </c>
      <c r="P228" s="5" t="n"/>
      <c r="Q228" s="6" t="n"/>
      <c r="R228" s="6" t="n"/>
      <c r="S228" s="6">
        <f>IF(COUNT(Q228:R228)=0,"",SUM(Q228:R228))</f>
        <v/>
      </c>
      <c r="T228" s="6" t="n"/>
      <c r="U228" s="5">
        <f>IF(T228="","",IF(L228&lt;&gt;"IGEN","IGEN",IF(S228&gt;=T228,"IGEN","NEM")))</f>
        <v/>
      </c>
      <c r="V228" s="5" t="n"/>
      <c r="W228" s="5" t="n"/>
      <c r="X228" s="5" t="n"/>
      <c r="Y228" s="5" t="n"/>
      <c r="Z228" s="5">
        <f>IF(X228="","",IF(COUNTIFS($X$5:$X$304,X228,$I$5:$I$304,"&lt;"&amp;I228)=0,I228,""))</f>
        <v/>
      </c>
      <c r="AA228" s="5">
        <f>IF(X228="","",IF(COUNTIFS($X$5:$X$304,X228,$I$5:$I$304,"&lt;"&amp;I228)&gt;0,"NEM",IF(COUNTIFS($X$5:$X$304,X228,$I$5:$I$304,I228)=1,"IGEN",IF(Y228=1,"IGEN","NEM"))))</f>
        <v/>
      </c>
      <c r="AB228" s="5">
        <f>IF(OR(I228="",J228=""),"",IF(OR(I228=0,V228="IGEN",W228="IGEN"),"X",IF(AND(K228&lt;&gt;"IGEN",L228="IGEN",U228="NEM"),"X",IF(AA228="IGEN",J228,"X"))))</f>
        <v/>
      </c>
      <c r="AC228" s="5">
        <f>IF(AB228="X",0,IF(D228="","",D228))</f>
        <v/>
      </c>
      <c r="AD228" s="5">
        <f>IF(AB228="X",IF(D228="","",D228),0)</f>
        <v/>
      </c>
      <c r="AE228" s="6" t="n"/>
      <c r="AF228" s="6">
        <f>IF(E228="","",SUMIFS($AI$5:AI228,$E$5:E228,E228)-AI228)</f>
        <v/>
      </c>
      <c r="AG228" s="6">
        <f>IF(AE228="","",MAX(0,AE228-AF228))</f>
        <v/>
      </c>
      <c r="AH228" s="6">
        <f>IF(S228="","",IF(OR(I228=0,V228="IGEN",W228="IGEN"),0,IF(AND(K228&lt;&gt;"IGEN",L228="IGEN",U228="NEM"),0,S228)))</f>
        <v/>
      </c>
      <c r="AI228" s="6">
        <f>IF(AH228="","",IF(M228="IGEN",MIN(AH228,AG228),AH228))</f>
        <v/>
      </c>
      <c r="AJ228" s="5" t="n"/>
    </row>
    <row r="229">
      <c r="A229" s="5" t="n"/>
      <c r="B229" s="5" t="n"/>
      <c r="C229" s="5" t="n"/>
      <c r="D229" s="5">
        <f>IF(AND(B229&lt;&gt;"",C229&lt;&gt;""),C229-B229+1,"")</f>
        <v/>
      </c>
      <c r="E229" s="5">
        <f>IF(B229&lt;&gt;"",YEAR(B229),"")</f>
        <v/>
      </c>
      <c r="F229" s="6" t="n"/>
      <c r="G229" s="6" t="n"/>
      <c r="H229" s="6" t="n"/>
      <c r="I229" s="5">
        <f>IF(H229="","",IFERROR(INDEX(Szabályok!$B$13:$B$200,MATCH(H229,Szabályok!$A$13:$A$200,0)),""))</f>
        <v/>
      </c>
      <c r="J229" s="5">
        <f>IF(H229="","",IFERROR(INDEX(Szabályok!$C$13:$C$200,MATCH(H229,Szabályok!$A$13:$A$200,0)),""))</f>
        <v/>
      </c>
      <c r="K229" s="5">
        <f>IF(H229="","",IFERROR(INDEX(Szabályok!$D$13:$D$200,MATCH(H229,Szabályok!$A$13:$A$200,0)),""))</f>
        <v/>
      </c>
      <c r="L229" s="5">
        <f>IF(H229="","",IFERROR(INDEX(Szabályok!$E$13:$E$200,MATCH(H229,Szabályok!$A$13:$A$200,0)),""))</f>
        <v/>
      </c>
      <c r="M229" s="5">
        <f>IF(H229="","",IFERROR(INDEX(Szabályok!$F$13:$F$200,MATCH(H229,Szabályok!$A$13:$A$200,0)),""))</f>
        <v/>
      </c>
      <c r="N229" s="5">
        <f>IF(H229="","",IFERROR(INDEX(Szabályok!$G$13:$G$200,MATCH(H229,Szabályok!$A$13:$A$200,0)),""))</f>
        <v/>
      </c>
      <c r="O229" s="5">
        <f>IF(H229="","",IFERROR(INDEX(Szabályok!$H$13:$H$200,MATCH(H229,Szabályok!$A$13:$A$200,0)),""))</f>
        <v/>
      </c>
      <c r="P229" s="5" t="n"/>
      <c r="Q229" s="6" t="n"/>
      <c r="R229" s="6" t="n"/>
      <c r="S229" s="6">
        <f>IF(COUNT(Q229:R229)=0,"",SUM(Q229:R229))</f>
        <v/>
      </c>
      <c r="T229" s="6" t="n"/>
      <c r="U229" s="5">
        <f>IF(T229="","",IF(L229&lt;&gt;"IGEN","IGEN",IF(S229&gt;=T229,"IGEN","NEM")))</f>
        <v/>
      </c>
      <c r="V229" s="5" t="n"/>
      <c r="W229" s="5" t="n"/>
      <c r="X229" s="5" t="n"/>
      <c r="Y229" s="5" t="n"/>
      <c r="Z229" s="5">
        <f>IF(X229="","",IF(COUNTIFS($X$5:$X$304,X229,$I$5:$I$304,"&lt;"&amp;I229)=0,I229,""))</f>
        <v/>
      </c>
      <c r="AA229" s="5">
        <f>IF(X229="","",IF(COUNTIFS($X$5:$X$304,X229,$I$5:$I$304,"&lt;"&amp;I229)&gt;0,"NEM",IF(COUNTIFS($X$5:$X$304,X229,$I$5:$I$304,I229)=1,"IGEN",IF(Y229=1,"IGEN","NEM"))))</f>
        <v/>
      </c>
      <c r="AB229" s="5">
        <f>IF(OR(I229="",J229=""),"",IF(OR(I229=0,V229="IGEN",W229="IGEN"),"X",IF(AND(K229&lt;&gt;"IGEN",L229="IGEN",U229="NEM"),"X",IF(AA229="IGEN",J229,"X"))))</f>
        <v/>
      </c>
      <c r="AC229" s="5">
        <f>IF(AB229="X",0,IF(D229="","",D229))</f>
        <v/>
      </c>
      <c r="AD229" s="5">
        <f>IF(AB229="X",IF(D229="","",D229),0)</f>
        <v/>
      </c>
      <c r="AE229" s="6" t="n"/>
      <c r="AF229" s="6">
        <f>IF(E229="","",SUMIFS($AI$5:AI229,$E$5:E229,E229)-AI229)</f>
        <v/>
      </c>
      <c r="AG229" s="6">
        <f>IF(AE229="","",MAX(0,AE229-AF229))</f>
        <v/>
      </c>
      <c r="AH229" s="6">
        <f>IF(S229="","",IF(OR(I229=0,V229="IGEN",W229="IGEN"),0,IF(AND(K229&lt;&gt;"IGEN",L229="IGEN",U229="NEM"),0,S229)))</f>
        <v/>
      </c>
      <c r="AI229" s="6">
        <f>IF(AH229="","",IF(M229="IGEN",MIN(AH229,AG229),AH229))</f>
        <v/>
      </c>
      <c r="AJ229" s="5" t="n"/>
    </row>
    <row r="230">
      <c r="A230" s="5" t="n"/>
      <c r="B230" s="5" t="n"/>
      <c r="C230" s="5" t="n"/>
      <c r="D230" s="5">
        <f>IF(AND(B230&lt;&gt;"",C230&lt;&gt;""),C230-B230+1,"")</f>
        <v/>
      </c>
      <c r="E230" s="5">
        <f>IF(B230&lt;&gt;"",YEAR(B230),"")</f>
        <v/>
      </c>
      <c r="F230" s="6" t="n"/>
      <c r="G230" s="6" t="n"/>
      <c r="H230" s="6" t="n"/>
      <c r="I230" s="5">
        <f>IF(H230="","",IFERROR(INDEX(Szabályok!$B$13:$B$200,MATCH(H230,Szabályok!$A$13:$A$200,0)),""))</f>
        <v/>
      </c>
      <c r="J230" s="5">
        <f>IF(H230="","",IFERROR(INDEX(Szabályok!$C$13:$C$200,MATCH(H230,Szabályok!$A$13:$A$200,0)),""))</f>
        <v/>
      </c>
      <c r="K230" s="5">
        <f>IF(H230="","",IFERROR(INDEX(Szabályok!$D$13:$D$200,MATCH(H230,Szabályok!$A$13:$A$200,0)),""))</f>
        <v/>
      </c>
      <c r="L230" s="5">
        <f>IF(H230="","",IFERROR(INDEX(Szabályok!$E$13:$E$200,MATCH(H230,Szabályok!$A$13:$A$200,0)),""))</f>
        <v/>
      </c>
      <c r="M230" s="5">
        <f>IF(H230="","",IFERROR(INDEX(Szabályok!$F$13:$F$200,MATCH(H230,Szabályok!$A$13:$A$200,0)),""))</f>
        <v/>
      </c>
      <c r="N230" s="5">
        <f>IF(H230="","",IFERROR(INDEX(Szabályok!$G$13:$G$200,MATCH(H230,Szabályok!$A$13:$A$200,0)),""))</f>
        <v/>
      </c>
      <c r="O230" s="5">
        <f>IF(H230="","",IFERROR(INDEX(Szabályok!$H$13:$H$200,MATCH(H230,Szabályok!$A$13:$A$200,0)),""))</f>
        <v/>
      </c>
      <c r="P230" s="5" t="n"/>
      <c r="Q230" s="6" t="n"/>
      <c r="R230" s="6" t="n"/>
      <c r="S230" s="6">
        <f>IF(COUNT(Q230:R230)=0,"",SUM(Q230:R230))</f>
        <v/>
      </c>
      <c r="T230" s="6" t="n"/>
      <c r="U230" s="5">
        <f>IF(T230="","",IF(L230&lt;&gt;"IGEN","IGEN",IF(S230&gt;=T230,"IGEN","NEM")))</f>
        <v/>
      </c>
      <c r="V230" s="5" t="n"/>
      <c r="W230" s="5" t="n"/>
      <c r="X230" s="5" t="n"/>
      <c r="Y230" s="5" t="n"/>
      <c r="Z230" s="5">
        <f>IF(X230="","",IF(COUNTIFS($X$5:$X$304,X230,$I$5:$I$304,"&lt;"&amp;I230)=0,I230,""))</f>
        <v/>
      </c>
      <c r="AA230" s="5">
        <f>IF(X230="","",IF(COUNTIFS($X$5:$X$304,X230,$I$5:$I$304,"&lt;"&amp;I230)&gt;0,"NEM",IF(COUNTIFS($X$5:$X$304,X230,$I$5:$I$304,I230)=1,"IGEN",IF(Y230=1,"IGEN","NEM"))))</f>
        <v/>
      </c>
      <c r="AB230" s="5">
        <f>IF(OR(I230="",J230=""),"",IF(OR(I230=0,V230="IGEN",W230="IGEN"),"X",IF(AND(K230&lt;&gt;"IGEN",L230="IGEN",U230="NEM"),"X",IF(AA230="IGEN",J230,"X"))))</f>
        <v/>
      </c>
      <c r="AC230" s="5">
        <f>IF(AB230="X",0,IF(D230="","",D230))</f>
        <v/>
      </c>
      <c r="AD230" s="5">
        <f>IF(AB230="X",IF(D230="","",D230),0)</f>
        <v/>
      </c>
      <c r="AE230" s="6" t="n"/>
      <c r="AF230" s="6">
        <f>IF(E230="","",SUMIFS($AI$5:AI230,$E$5:E230,E230)-AI230)</f>
        <v/>
      </c>
      <c r="AG230" s="6">
        <f>IF(AE230="","",MAX(0,AE230-AF230))</f>
        <v/>
      </c>
      <c r="AH230" s="6">
        <f>IF(S230="","",IF(OR(I230=0,V230="IGEN",W230="IGEN"),0,IF(AND(K230&lt;&gt;"IGEN",L230="IGEN",U230="NEM"),0,S230)))</f>
        <v/>
      </c>
      <c r="AI230" s="6">
        <f>IF(AH230="","",IF(M230="IGEN",MIN(AH230,AG230),AH230))</f>
        <v/>
      </c>
      <c r="AJ230" s="5" t="n"/>
    </row>
    <row r="231">
      <c r="A231" s="5" t="n"/>
      <c r="B231" s="5" t="n"/>
      <c r="C231" s="5" t="n"/>
      <c r="D231" s="5">
        <f>IF(AND(B231&lt;&gt;"",C231&lt;&gt;""),C231-B231+1,"")</f>
        <v/>
      </c>
      <c r="E231" s="5">
        <f>IF(B231&lt;&gt;"",YEAR(B231),"")</f>
        <v/>
      </c>
      <c r="F231" s="6" t="n"/>
      <c r="G231" s="6" t="n"/>
      <c r="H231" s="6" t="n"/>
      <c r="I231" s="5">
        <f>IF(H231="","",IFERROR(INDEX(Szabályok!$B$13:$B$200,MATCH(H231,Szabályok!$A$13:$A$200,0)),""))</f>
        <v/>
      </c>
      <c r="J231" s="5">
        <f>IF(H231="","",IFERROR(INDEX(Szabályok!$C$13:$C$200,MATCH(H231,Szabályok!$A$13:$A$200,0)),""))</f>
        <v/>
      </c>
      <c r="K231" s="5">
        <f>IF(H231="","",IFERROR(INDEX(Szabályok!$D$13:$D$200,MATCH(H231,Szabályok!$A$13:$A$200,0)),""))</f>
        <v/>
      </c>
      <c r="L231" s="5">
        <f>IF(H231="","",IFERROR(INDEX(Szabályok!$E$13:$E$200,MATCH(H231,Szabályok!$A$13:$A$200,0)),""))</f>
        <v/>
      </c>
      <c r="M231" s="5">
        <f>IF(H231="","",IFERROR(INDEX(Szabályok!$F$13:$F$200,MATCH(H231,Szabályok!$A$13:$A$200,0)),""))</f>
        <v/>
      </c>
      <c r="N231" s="5">
        <f>IF(H231="","",IFERROR(INDEX(Szabályok!$G$13:$G$200,MATCH(H231,Szabályok!$A$13:$A$200,0)),""))</f>
        <v/>
      </c>
      <c r="O231" s="5">
        <f>IF(H231="","",IFERROR(INDEX(Szabályok!$H$13:$H$200,MATCH(H231,Szabályok!$A$13:$A$200,0)),""))</f>
        <v/>
      </c>
      <c r="P231" s="5" t="n"/>
      <c r="Q231" s="6" t="n"/>
      <c r="R231" s="6" t="n"/>
      <c r="S231" s="6">
        <f>IF(COUNT(Q231:R231)=0,"",SUM(Q231:R231))</f>
        <v/>
      </c>
      <c r="T231" s="6" t="n"/>
      <c r="U231" s="5">
        <f>IF(T231="","",IF(L231&lt;&gt;"IGEN","IGEN",IF(S231&gt;=T231,"IGEN","NEM")))</f>
        <v/>
      </c>
      <c r="V231" s="5" t="n"/>
      <c r="W231" s="5" t="n"/>
      <c r="X231" s="5" t="n"/>
      <c r="Y231" s="5" t="n"/>
      <c r="Z231" s="5">
        <f>IF(X231="","",IF(COUNTIFS($X$5:$X$304,X231,$I$5:$I$304,"&lt;"&amp;I231)=0,I231,""))</f>
        <v/>
      </c>
      <c r="AA231" s="5">
        <f>IF(X231="","",IF(COUNTIFS($X$5:$X$304,X231,$I$5:$I$304,"&lt;"&amp;I231)&gt;0,"NEM",IF(COUNTIFS($X$5:$X$304,X231,$I$5:$I$304,I231)=1,"IGEN",IF(Y231=1,"IGEN","NEM"))))</f>
        <v/>
      </c>
      <c r="AB231" s="5">
        <f>IF(OR(I231="",J231=""),"",IF(OR(I231=0,V231="IGEN",W231="IGEN"),"X",IF(AND(K231&lt;&gt;"IGEN",L231="IGEN",U231="NEM"),"X",IF(AA231="IGEN",J231,"X"))))</f>
        <v/>
      </c>
      <c r="AC231" s="5">
        <f>IF(AB231="X",0,IF(D231="","",D231))</f>
        <v/>
      </c>
      <c r="AD231" s="5">
        <f>IF(AB231="X",IF(D231="","",D231),0)</f>
        <v/>
      </c>
      <c r="AE231" s="6" t="n"/>
      <c r="AF231" s="6">
        <f>IF(E231="","",SUMIFS($AI$5:AI231,$E$5:E231,E231)-AI231)</f>
        <v/>
      </c>
      <c r="AG231" s="6">
        <f>IF(AE231="","",MAX(0,AE231-AF231))</f>
        <v/>
      </c>
      <c r="AH231" s="6">
        <f>IF(S231="","",IF(OR(I231=0,V231="IGEN",W231="IGEN"),0,IF(AND(K231&lt;&gt;"IGEN",L231="IGEN",U231="NEM"),0,S231)))</f>
        <v/>
      </c>
      <c r="AI231" s="6">
        <f>IF(AH231="","",IF(M231="IGEN",MIN(AH231,AG231),AH231))</f>
        <v/>
      </c>
      <c r="AJ231" s="5" t="n"/>
    </row>
    <row r="232">
      <c r="A232" s="5" t="n"/>
      <c r="B232" s="5" t="n"/>
      <c r="C232" s="5" t="n"/>
      <c r="D232" s="5">
        <f>IF(AND(B232&lt;&gt;"",C232&lt;&gt;""),C232-B232+1,"")</f>
        <v/>
      </c>
      <c r="E232" s="5">
        <f>IF(B232&lt;&gt;"",YEAR(B232),"")</f>
        <v/>
      </c>
      <c r="F232" s="6" t="n"/>
      <c r="G232" s="6" t="n"/>
      <c r="H232" s="6" t="n"/>
      <c r="I232" s="5">
        <f>IF(H232="","",IFERROR(INDEX(Szabályok!$B$13:$B$200,MATCH(H232,Szabályok!$A$13:$A$200,0)),""))</f>
        <v/>
      </c>
      <c r="J232" s="5">
        <f>IF(H232="","",IFERROR(INDEX(Szabályok!$C$13:$C$200,MATCH(H232,Szabályok!$A$13:$A$200,0)),""))</f>
        <v/>
      </c>
      <c r="K232" s="5">
        <f>IF(H232="","",IFERROR(INDEX(Szabályok!$D$13:$D$200,MATCH(H232,Szabályok!$A$13:$A$200,0)),""))</f>
        <v/>
      </c>
      <c r="L232" s="5">
        <f>IF(H232="","",IFERROR(INDEX(Szabályok!$E$13:$E$200,MATCH(H232,Szabályok!$A$13:$A$200,0)),""))</f>
        <v/>
      </c>
      <c r="M232" s="5">
        <f>IF(H232="","",IFERROR(INDEX(Szabályok!$F$13:$F$200,MATCH(H232,Szabályok!$A$13:$A$200,0)),""))</f>
        <v/>
      </c>
      <c r="N232" s="5">
        <f>IF(H232="","",IFERROR(INDEX(Szabályok!$G$13:$G$200,MATCH(H232,Szabályok!$A$13:$A$200,0)),""))</f>
        <v/>
      </c>
      <c r="O232" s="5">
        <f>IF(H232="","",IFERROR(INDEX(Szabályok!$H$13:$H$200,MATCH(H232,Szabályok!$A$13:$A$200,0)),""))</f>
        <v/>
      </c>
      <c r="P232" s="5" t="n"/>
      <c r="Q232" s="6" t="n"/>
      <c r="R232" s="6" t="n"/>
      <c r="S232" s="6">
        <f>IF(COUNT(Q232:R232)=0,"",SUM(Q232:R232))</f>
        <v/>
      </c>
      <c r="T232" s="6" t="n"/>
      <c r="U232" s="5">
        <f>IF(T232="","",IF(L232&lt;&gt;"IGEN","IGEN",IF(S232&gt;=T232,"IGEN","NEM")))</f>
        <v/>
      </c>
      <c r="V232" s="5" t="n"/>
      <c r="W232" s="5" t="n"/>
      <c r="X232" s="5" t="n"/>
      <c r="Y232" s="5" t="n"/>
      <c r="Z232" s="5">
        <f>IF(X232="","",IF(COUNTIFS($X$5:$X$304,X232,$I$5:$I$304,"&lt;"&amp;I232)=0,I232,""))</f>
        <v/>
      </c>
      <c r="AA232" s="5">
        <f>IF(X232="","",IF(COUNTIFS($X$5:$X$304,X232,$I$5:$I$304,"&lt;"&amp;I232)&gt;0,"NEM",IF(COUNTIFS($X$5:$X$304,X232,$I$5:$I$304,I232)=1,"IGEN",IF(Y232=1,"IGEN","NEM"))))</f>
        <v/>
      </c>
      <c r="AB232" s="5">
        <f>IF(OR(I232="",J232=""),"",IF(OR(I232=0,V232="IGEN",W232="IGEN"),"X",IF(AND(K232&lt;&gt;"IGEN",L232="IGEN",U232="NEM"),"X",IF(AA232="IGEN",J232,"X"))))</f>
        <v/>
      </c>
      <c r="AC232" s="5">
        <f>IF(AB232="X",0,IF(D232="","",D232))</f>
        <v/>
      </c>
      <c r="AD232" s="5">
        <f>IF(AB232="X",IF(D232="","",D232),0)</f>
        <v/>
      </c>
      <c r="AE232" s="6" t="n"/>
      <c r="AF232" s="6">
        <f>IF(E232="","",SUMIFS($AI$5:AI232,$E$5:E232,E232)-AI232)</f>
        <v/>
      </c>
      <c r="AG232" s="6">
        <f>IF(AE232="","",MAX(0,AE232-AF232))</f>
        <v/>
      </c>
      <c r="AH232" s="6">
        <f>IF(S232="","",IF(OR(I232=0,V232="IGEN",W232="IGEN"),0,IF(AND(K232&lt;&gt;"IGEN",L232="IGEN",U232="NEM"),0,S232)))</f>
        <v/>
      </c>
      <c r="AI232" s="6">
        <f>IF(AH232="","",IF(M232="IGEN",MIN(AH232,AG232),AH232))</f>
        <v/>
      </c>
      <c r="AJ232" s="5" t="n"/>
    </row>
    <row r="233">
      <c r="A233" s="5" t="n"/>
      <c r="B233" s="5" t="n"/>
      <c r="C233" s="5" t="n"/>
      <c r="D233" s="5">
        <f>IF(AND(B233&lt;&gt;"",C233&lt;&gt;""),C233-B233+1,"")</f>
        <v/>
      </c>
      <c r="E233" s="5">
        <f>IF(B233&lt;&gt;"",YEAR(B233),"")</f>
        <v/>
      </c>
      <c r="F233" s="6" t="n"/>
      <c r="G233" s="6" t="n"/>
      <c r="H233" s="6" t="n"/>
      <c r="I233" s="5">
        <f>IF(H233="","",IFERROR(INDEX(Szabályok!$B$13:$B$200,MATCH(H233,Szabályok!$A$13:$A$200,0)),""))</f>
        <v/>
      </c>
      <c r="J233" s="5">
        <f>IF(H233="","",IFERROR(INDEX(Szabályok!$C$13:$C$200,MATCH(H233,Szabályok!$A$13:$A$200,0)),""))</f>
        <v/>
      </c>
      <c r="K233" s="5">
        <f>IF(H233="","",IFERROR(INDEX(Szabályok!$D$13:$D$200,MATCH(H233,Szabályok!$A$13:$A$200,0)),""))</f>
        <v/>
      </c>
      <c r="L233" s="5">
        <f>IF(H233="","",IFERROR(INDEX(Szabályok!$E$13:$E$200,MATCH(H233,Szabályok!$A$13:$A$200,0)),""))</f>
        <v/>
      </c>
      <c r="M233" s="5">
        <f>IF(H233="","",IFERROR(INDEX(Szabályok!$F$13:$F$200,MATCH(H233,Szabályok!$A$13:$A$200,0)),""))</f>
        <v/>
      </c>
      <c r="N233" s="5">
        <f>IF(H233="","",IFERROR(INDEX(Szabályok!$G$13:$G$200,MATCH(H233,Szabályok!$A$13:$A$200,0)),""))</f>
        <v/>
      </c>
      <c r="O233" s="5">
        <f>IF(H233="","",IFERROR(INDEX(Szabályok!$H$13:$H$200,MATCH(H233,Szabályok!$A$13:$A$200,0)),""))</f>
        <v/>
      </c>
      <c r="P233" s="5" t="n"/>
      <c r="Q233" s="6" t="n"/>
      <c r="R233" s="6" t="n"/>
      <c r="S233" s="6">
        <f>IF(COUNT(Q233:R233)=0,"",SUM(Q233:R233))</f>
        <v/>
      </c>
      <c r="T233" s="6" t="n"/>
      <c r="U233" s="5">
        <f>IF(T233="","",IF(L233&lt;&gt;"IGEN","IGEN",IF(S233&gt;=T233,"IGEN","NEM")))</f>
        <v/>
      </c>
      <c r="V233" s="5" t="n"/>
      <c r="W233" s="5" t="n"/>
      <c r="X233" s="5" t="n"/>
      <c r="Y233" s="5" t="n"/>
      <c r="Z233" s="5">
        <f>IF(X233="","",IF(COUNTIFS($X$5:$X$304,X233,$I$5:$I$304,"&lt;"&amp;I233)=0,I233,""))</f>
        <v/>
      </c>
      <c r="AA233" s="5">
        <f>IF(X233="","",IF(COUNTIFS($X$5:$X$304,X233,$I$5:$I$304,"&lt;"&amp;I233)&gt;0,"NEM",IF(COUNTIFS($X$5:$X$304,X233,$I$5:$I$304,I233)=1,"IGEN",IF(Y233=1,"IGEN","NEM"))))</f>
        <v/>
      </c>
      <c r="AB233" s="5">
        <f>IF(OR(I233="",J233=""),"",IF(OR(I233=0,V233="IGEN",W233="IGEN"),"X",IF(AND(K233&lt;&gt;"IGEN",L233="IGEN",U233="NEM"),"X",IF(AA233="IGEN",J233,"X"))))</f>
        <v/>
      </c>
      <c r="AC233" s="5">
        <f>IF(AB233="X",0,IF(D233="","",D233))</f>
        <v/>
      </c>
      <c r="AD233" s="5">
        <f>IF(AB233="X",IF(D233="","",D233),0)</f>
        <v/>
      </c>
      <c r="AE233" s="6" t="n"/>
      <c r="AF233" s="6">
        <f>IF(E233="","",SUMIFS($AI$5:AI233,$E$5:E233,E233)-AI233)</f>
        <v/>
      </c>
      <c r="AG233" s="6">
        <f>IF(AE233="","",MAX(0,AE233-AF233))</f>
        <v/>
      </c>
      <c r="AH233" s="6">
        <f>IF(S233="","",IF(OR(I233=0,V233="IGEN",W233="IGEN"),0,IF(AND(K233&lt;&gt;"IGEN",L233="IGEN",U233="NEM"),0,S233)))</f>
        <v/>
      </c>
      <c r="AI233" s="6">
        <f>IF(AH233="","",IF(M233="IGEN",MIN(AH233,AG233),AH233))</f>
        <v/>
      </c>
      <c r="AJ233" s="5" t="n"/>
    </row>
    <row r="234">
      <c r="A234" s="5" t="n"/>
      <c r="B234" s="5" t="n"/>
      <c r="C234" s="5" t="n"/>
      <c r="D234" s="5">
        <f>IF(AND(B234&lt;&gt;"",C234&lt;&gt;""),C234-B234+1,"")</f>
        <v/>
      </c>
      <c r="E234" s="5">
        <f>IF(B234&lt;&gt;"",YEAR(B234),"")</f>
        <v/>
      </c>
      <c r="F234" s="6" t="n"/>
      <c r="G234" s="6" t="n"/>
      <c r="H234" s="6" t="n"/>
      <c r="I234" s="5">
        <f>IF(H234="","",IFERROR(INDEX(Szabályok!$B$13:$B$200,MATCH(H234,Szabályok!$A$13:$A$200,0)),""))</f>
        <v/>
      </c>
      <c r="J234" s="5">
        <f>IF(H234="","",IFERROR(INDEX(Szabályok!$C$13:$C$200,MATCH(H234,Szabályok!$A$13:$A$200,0)),""))</f>
        <v/>
      </c>
      <c r="K234" s="5">
        <f>IF(H234="","",IFERROR(INDEX(Szabályok!$D$13:$D$200,MATCH(H234,Szabályok!$A$13:$A$200,0)),""))</f>
        <v/>
      </c>
      <c r="L234" s="5">
        <f>IF(H234="","",IFERROR(INDEX(Szabályok!$E$13:$E$200,MATCH(H234,Szabályok!$A$13:$A$200,0)),""))</f>
        <v/>
      </c>
      <c r="M234" s="5">
        <f>IF(H234="","",IFERROR(INDEX(Szabályok!$F$13:$F$200,MATCH(H234,Szabályok!$A$13:$A$200,0)),""))</f>
        <v/>
      </c>
      <c r="N234" s="5">
        <f>IF(H234="","",IFERROR(INDEX(Szabályok!$G$13:$G$200,MATCH(H234,Szabályok!$A$13:$A$200,0)),""))</f>
        <v/>
      </c>
      <c r="O234" s="5">
        <f>IF(H234="","",IFERROR(INDEX(Szabályok!$H$13:$H$200,MATCH(H234,Szabályok!$A$13:$A$200,0)),""))</f>
        <v/>
      </c>
      <c r="P234" s="5" t="n"/>
      <c r="Q234" s="6" t="n"/>
      <c r="R234" s="6" t="n"/>
      <c r="S234" s="6">
        <f>IF(COUNT(Q234:R234)=0,"",SUM(Q234:R234))</f>
        <v/>
      </c>
      <c r="T234" s="6" t="n"/>
      <c r="U234" s="5">
        <f>IF(T234="","",IF(L234&lt;&gt;"IGEN","IGEN",IF(S234&gt;=T234,"IGEN","NEM")))</f>
        <v/>
      </c>
      <c r="V234" s="5" t="n"/>
      <c r="W234" s="5" t="n"/>
      <c r="X234" s="5" t="n"/>
      <c r="Y234" s="5" t="n"/>
      <c r="Z234" s="5">
        <f>IF(X234="","",IF(COUNTIFS($X$5:$X$304,X234,$I$5:$I$304,"&lt;"&amp;I234)=0,I234,""))</f>
        <v/>
      </c>
      <c r="AA234" s="5">
        <f>IF(X234="","",IF(COUNTIFS($X$5:$X$304,X234,$I$5:$I$304,"&lt;"&amp;I234)&gt;0,"NEM",IF(COUNTIFS($X$5:$X$304,X234,$I$5:$I$304,I234)=1,"IGEN",IF(Y234=1,"IGEN","NEM"))))</f>
        <v/>
      </c>
      <c r="AB234" s="5">
        <f>IF(OR(I234="",J234=""),"",IF(OR(I234=0,V234="IGEN",W234="IGEN"),"X",IF(AND(K234&lt;&gt;"IGEN",L234="IGEN",U234="NEM"),"X",IF(AA234="IGEN",J234,"X"))))</f>
        <v/>
      </c>
      <c r="AC234" s="5">
        <f>IF(AB234="X",0,IF(D234="","",D234))</f>
        <v/>
      </c>
      <c r="AD234" s="5">
        <f>IF(AB234="X",IF(D234="","",D234),0)</f>
        <v/>
      </c>
      <c r="AE234" s="6" t="n"/>
      <c r="AF234" s="6">
        <f>IF(E234="","",SUMIFS($AI$5:AI234,$E$5:E234,E234)-AI234)</f>
        <v/>
      </c>
      <c r="AG234" s="6">
        <f>IF(AE234="","",MAX(0,AE234-AF234))</f>
        <v/>
      </c>
      <c r="AH234" s="6">
        <f>IF(S234="","",IF(OR(I234=0,V234="IGEN",W234="IGEN"),0,IF(AND(K234&lt;&gt;"IGEN",L234="IGEN",U234="NEM"),0,S234)))</f>
        <v/>
      </c>
      <c r="AI234" s="6">
        <f>IF(AH234="","",IF(M234="IGEN",MIN(AH234,AG234),AH234))</f>
        <v/>
      </c>
      <c r="AJ234" s="5" t="n"/>
    </row>
    <row r="235">
      <c r="A235" s="5" t="n"/>
      <c r="B235" s="5" t="n"/>
      <c r="C235" s="5" t="n"/>
      <c r="D235" s="5">
        <f>IF(AND(B235&lt;&gt;"",C235&lt;&gt;""),C235-B235+1,"")</f>
        <v/>
      </c>
      <c r="E235" s="5">
        <f>IF(B235&lt;&gt;"",YEAR(B235),"")</f>
        <v/>
      </c>
      <c r="F235" s="6" t="n"/>
      <c r="G235" s="6" t="n"/>
      <c r="H235" s="6" t="n"/>
      <c r="I235" s="5">
        <f>IF(H235="","",IFERROR(INDEX(Szabályok!$B$13:$B$200,MATCH(H235,Szabályok!$A$13:$A$200,0)),""))</f>
        <v/>
      </c>
      <c r="J235" s="5">
        <f>IF(H235="","",IFERROR(INDEX(Szabályok!$C$13:$C$200,MATCH(H235,Szabályok!$A$13:$A$200,0)),""))</f>
        <v/>
      </c>
      <c r="K235" s="5">
        <f>IF(H235="","",IFERROR(INDEX(Szabályok!$D$13:$D$200,MATCH(H235,Szabályok!$A$13:$A$200,0)),""))</f>
        <v/>
      </c>
      <c r="L235" s="5">
        <f>IF(H235="","",IFERROR(INDEX(Szabályok!$E$13:$E$200,MATCH(H235,Szabályok!$A$13:$A$200,0)),""))</f>
        <v/>
      </c>
      <c r="M235" s="5">
        <f>IF(H235="","",IFERROR(INDEX(Szabályok!$F$13:$F$200,MATCH(H235,Szabályok!$A$13:$A$200,0)),""))</f>
        <v/>
      </c>
      <c r="N235" s="5">
        <f>IF(H235="","",IFERROR(INDEX(Szabályok!$G$13:$G$200,MATCH(H235,Szabályok!$A$13:$A$200,0)),""))</f>
        <v/>
      </c>
      <c r="O235" s="5">
        <f>IF(H235="","",IFERROR(INDEX(Szabályok!$H$13:$H$200,MATCH(H235,Szabályok!$A$13:$A$200,0)),""))</f>
        <v/>
      </c>
      <c r="P235" s="5" t="n"/>
      <c r="Q235" s="6" t="n"/>
      <c r="R235" s="6" t="n"/>
      <c r="S235" s="6">
        <f>IF(COUNT(Q235:R235)=0,"",SUM(Q235:R235))</f>
        <v/>
      </c>
      <c r="T235" s="6" t="n"/>
      <c r="U235" s="5">
        <f>IF(T235="","",IF(L235&lt;&gt;"IGEN","IGEN",IF(S235&gt;=T235,"IGEN","NEM")))</f>
        <v/>
      </c>
      <c r="V235" s="5" t="n"/>
      <c r="W235" s="5" t="n"/>
      <c r="X235" s="5" t="n"/>
      <c r="Y235" s="5" t="n"/>
      <c r="Z235" s="5">
        <f>IF(X235="","",IF(COUNTIFS($X$5:$X$304,X235,$I$5:$I$304,"&lt;"&amp;I235)=0,I235,""))</f>
        <v/>
      </c>
      <c r="AA235" s="5">
        <f>IF(X235="","",IF(COUNTIFS($X$5:$X$304,X235,$I$5:$I$304,"&lt;"&amp;I235)&gt;0,"NEM",IF(COUNTIFS($X$5:$X$304,X235,$I$5:$I$304,I235)=1,"IGEN",IF(Y235=1,"IGEN","NEM"))))</f>
        <v/>
      </c>
      <c r="AB235" s="5">
        <f>IF(OR(I235="",J235=""),"",IF(OR(I235=0,V235="IGEN",W235="IGEN"),"X",IF(AND(K235&lt;&gt;"IGEN",L235="IGEN",U235="NEM"),"X",IF(AA235="IGEN",J235,"X"))))</f>
        <v/>
      </c>
      <c r="AC235" s="5">
        <f>IF(AB235="X",0,IF(D235="","",D235))</f>
        <v/>
      </c>
      <c r="AD235" s="5">
        <f>IF(AB235="X",IF(D235="","",D235),0)</f>
        <v/>
      </c>
      <c r="AE235" s="6" t="n"/>
      <c r="AF235" s="6">
        <f>IF(E235="","",SUMIFS($AI$5:AI235,$E$5:E235,E235)-AI235)</f>
        <v/>
      </c>
      <c r="AG235" s="6">
        <f>IF(AE235="","",MAX(0,AE235-AF235))</f>
        <v/>
      </c>
      <c r="AH235" s="6">
        <f>IF(S235="","",IF(OR(I235=0,V235="IGEN",W235="IGEN"),0,IF(AND(K235&lt;&gt;"IGEN",L235="IGEN",U235="NEM"),0,S235)))</f>
        <v/>
      </c>
      <c r="AI235" s="6">
        <f>IF(AH235="","",IF(M235="IGEN",MIN(AH235,AG235),AH235))</f>
        <v/>
      </c>
      <c r="AJ235" s="5" t="n"/>
    </row>
    <row r="236">
      <c r="A236" s="5" t="n"/>
      <c r="B236" s="5" t="n"/>
      <c r="C236" s="5" t="n"/>
      <c r="D236" s="5">
        <f>IF(AND(B236&lt;&gt;"",C236&lt;&gt;""),C236-B236+1,"")</f>
        <v/>
      </c>
      <c r="E236" s="5">
        <f>IF(B236&lt;&gt;"",YEAR(B236),"")</f>
        <v/>
      </c>
      <c r="F236" s="6" t="n"/>
      <c r="G236" s="6" t="n"/>
      <c r="H236" s="6" t="n"/>
      <c r="I236" s="5">
        <f>IF(H236="","",IFERROR(INDEX(Szabályok!$B$13:$B$200,MATCH(H236,Szabályok!$A$13:$A$200,0)),""))</f>
        <v/>
      </c>
      <c r="J236" s="5">
        <f>IF(H236="","",IFERROR(INDEX(Szabályok!$C$13:$C$200,MATCH(H236,Szabályok!$A$13:$A$200,0)),""))</f>
        <v/>
      </c>
      <c r="K236" s="5">
        <f>IF(H236="","",IFERROR(INDEX(Szabályok!$D$13:$D$200,MATCH(H236,Szabályok!$A$13:$A$200,0)),""))</f>
        <v/>
      </c>
      <c r="L236" s="5">
        <f>IF(H236="","",IFERROR(INDEX(Szabályok!$E$13:$E$200,MATCH(H236,Szabályok!$A$13:$A$200,0)),""))</f>
        <v/>
      </c>
      <c r="M236" s="5">
        <f>IF(H236="","",IFERROR(INDEX(Szabályok!$F$13:$F$200,MATCH(H236,Szabályok!$A$13:$A$200,0)),""))</f>
        <v/>
      </c>
      <c r="N236" s="5">
        <f>IF(H236="","",IFERROR(INDEX(Szabályok!$G$13:$G$200,MATCH(H236,Szabályok!$A$13:$A$200,0)),""))</f>
        <v/>
      </c>
      <c r="O236" s="5">
        <f>IF(H236="","",IFERROR(INDEX(Szabályok!$H$13:$H$200,MATCH(H236,Szabályok!$A$13:$A$200,0)),""))</f>
        <v/>
      </c>
      <c r="P236" s="5" t="n"/>
      <c r="Q236" s="6" t="n"/>
      <c r="R236" s="6" t="n"/>
      <c r="S236" s="6">
        <f>IF(COUNT(Q236:R236)=0,"",SUM(Q236:R236))</f>
        <v/>
      </c>
      <c r="T236" s="6" t="n"/>
      <c r="U236" s="5">
        <f>IF(T236="","",IF(L236&lt;&gt;"IGEN","IGEN",IF(S236&gt;=T236,"IGEN","NEM")))</f>
        <v/>
      </c>
      <c r="V236" s="5" t="n"/>
      <c r="W236" s="5" t="n"/>
      <c r="X236" s="5" t="n"/>
      <c r="Y236" s="5" t="n"/>
      <c r="Z236" s="5">
        <f>IF(X236="","",IF(COUNTIFS($X$5:$X$304,X236,$I$5:$I$304,"&lt;"&amp;I236)=0,I236,""))</f>
        <v/>
      </c>
      <c r="AA236" s="5">
        <f>IF(X236="","",IF(COUNTIFS($X$5:$X$304,X236,$I$5:$I$304,"&lt;"&amp;I236)&gt;0,"NEM",IF(COUNTIFS($X$5:$X$304,X236,$I$5:$I$304,I236)=1,"IGEN",IF(Y236=1,"IGEN","NEM"))))</f>
        <v/>
      </c>
      <c r="AB236" s="5">
        <f>IF(OR(I236="",J236=""),"",IF(OR(I236=0,V236="IGEN",W236="IGEN"),"X",IF(AND(K236&lt;&gt;"IGEN",L236="IGEN",U236="NEM"),"X",IF(AA236="IGEN",J236,"X"))))</f>
        <v/>
      </c>
      <c r="AC236" s="5">
        <f>IF(AB236="X",0,IF(D236="","",D236))</f>
        <v/>
      </c>
      <c r="AD236" s="5">
        <f>IF(AB236="X",IF(D236="","",D236),0)</f>
        <v/>
      </c>
      <c r="AE236" s="6" t="n"/>
      <c r="AF236" s="6">
        <f>IF(E236="","",SUMIFS($AI$5:AI236,$E$5:E236,E236)-AI236)</f>
        <v/>
      </c>
      <c r="AG236" s="6">
        <f>IF(AE236="","",MAX(0,AE236-AF236))</f>
        <v/>
      </c>
      <c r="AH236" s="6">
        <f>IF(S236="","",IF(OR(I236=0,V236="IGEN",W236="IGEN"),0,IF(AND(K236&lt;&gt;"IGEN",L236="IGEN",U236="NEM"),0,S236)))</f>
        <v/>
      </c>
      <c r="AI236" s="6">
        <f>IF(AH236="","",IF(M236="IGEN",MIN(AH236,AG236),AH236))</f>
        <v/>
      </c>
      <c r="AJ236" s="5" t="n"/>
    </row>
    <row r="237">
      <c r="A237" s="5" t="n"/>
      <c r="B237" s="5" t="n"/>
      <c r="C237" s="5" t="n"/>
      <c r="D237" s="5">
        <f>IF(AND(B237&lt;&gt;"",C237&lt;&gt;""),C237-B237+1,"")</f>
        <v/>
      </c>
      <c r="E237" s="5">
        <f>IF(B237&lt;&gt;"",YEAR(B237),"")</f>
        <v/>
      </c>
      <c r="F237" s="6" t="n"/>
      <c r="G237" s="6" t="n"/>
      <c r="H237" s="6" t="n"/>
      <c r="I237" s="5">
        <f>IF(H237="","",IFERROR(INDEX(Szabályok!$B$13:$B$200,MATCH(H237,Szabályok!$A$13:$A$200,0)),""))</f>
        <v/>
      </c>
      <c r="J237" s="5">
        <f>IF(H237="","",IFERROR(INDEX(Szabályok!$C$13:$C$200,MATCH(H237,Szabályok!$A$13:$A$200,0)),""))</f>
        <v/>
      </c>
      <c r="K237" s="5">
        <f>IF(H237="","",IFERROR(INDEX(Szabályok!$D$13:$D$200,MATCH(H237,Szabályok!$A$13:$A$200,0)),""))</f>
        <v/>
      </c>
      <c r="L237" s="5">
        <f>IF(H237="","",IFERROR(INDEX(Szabályok!$E$13:$E$200,MATCH(H237,Szabályok!$A$13:$A$200,0)),""))</f>
        <v/>
      </c>
      <c r="M237" s="5">
        <f>IF(H237="","",IFERROR(INDEX(Szabályok!$F$13:$F$200,MATCH(H237,Szabályok!$A$13:$A$200,0)),""))</f>
        <v/>
      </c>
      <c r="N237" s="5">
        <f>IF(H237="","",IFERROR(INDEX(Szabályok!$G$13:$G$200,MATCH(H237,Szabályok!$A$13:$A$200,0)),""))</f>
        <v/>
      </c>
      <c r="O237" s="5">
        <f>IF(H237="","",IFERROR(INDEX(Szabályok!$H$13:$H$200,MATCH(H237,Szabályok!$A$13:$A$200,0)),""))</f>
        <v/>
      </c>
      <c r="P237" s="5" t="n"/>
      <c r="Q237" s="6" t="n"/>
      <c r="R237" s="6" t="n"/>
      <c r="S237" s="6">
        <f>IF(COUNT(Q237:R237)=0,"",SUM(Q237:R237))</f>
        <v/>
      </c>
      <c r="T237" s="6" t="n"/>
      <c r="U237" s="5">
        <f>IF(T237="","",IF(L237&lt;&gt;"IGEN","IGEN",IF(S237&gt;=T237,"IGEN","NEM")))</f>
        <v/>
      </c>
      <c r="V237" s="5" t="n"/>
      <c r="W237" s="5" t="n"/>
      <c r="X237" s="5" t="n"/>
      <c r="Y237" s="5" t="n"/>
      <c r="Z237" s="5">
        <f>IF(X237="","",IF(COUNTIFS($X$5:$X$304,X237,$I$5:$I$304,"&lt;"&amp;I237)=0,I237,""))</f>
        <v/>
      </c>
      <c r="AA237" s="5">
        <f>IF(X237="","",IF(COUNTIFS($X$5:$X$304,X237,$I$5:$I$304,"&lt;"&amp;I237)&gt;0,"NEM",IF(COUNTIFS($X$5:$X$304,X237,$I$5:$I$304,I237)=1,"IGEN",IF(Y237=1,"IGEN","NEM"))))</f>
        <v/>
      </c>
      <c r="AB237" s="5">
        <f>IF(OR(I237="",J237=""),"",IF(OR(I237=0,V237="IGEN",W237="IGEN"),"X",IF(AND(K237&lt;&gt;"IGEN",L237="IGEN",U237="NEM"),"X",IF(AA237="IGEN",J237,"X"))))</f>
        <v/>
      </c>
      <c r="AC237" s="5">
        <f>IF(AB237="X",0,IF(D237="","",D237))</f>
        <v/>
      </c>
      <c r="AD237" s="5">
        <f>IF(AB237="X",IF(D237="","",D237),0)</f>
        <v/>
      </c>
      <c r="AE237" s="6" t="n"/>
      <c r="AF237" s="6">
        <f>IF(E237="","",SUMIFS($AI$5:AI237,$E$5:E237,E237)-AI237)</f>
        <v/>
      </c>
      <c r="AG237" s="6">
        <f>IF(AE237="","",MAX(0,AE237-AF237))</f>
        <v/>
      </c>
      <c r="AH237" s="6">
        <f>IF(S237="","",IF(OR(I237=0,V237="IGEN",W237="IGEN"),0,IF(AND(K237&lt;&gt;"IGEN",L237="IGEN",U237="NEM"),0,S237)))</f>
        <v/>
      </c>
      <c r="AI237" s="6">
        <f>IF(AH237="","",IF(M237="IGEN",MIN(AH237,AG237),AH237))</f>
        <v/>
      </c>
      <c r="AJ237" s="5" t="n"/>
    </row>
    <row r="238">
      <c r="A238" s="5" t="n"/>
      <c r="B238" s="5" t="n"/>
      <c r="C238" s="5" t="n"/>
      <c r="D238" s="5">
        <f>IF(AND(B238&lt;&gt;"",C238&lt;&gt;""),C238-B238+1,"")</f>
        <v/>
      </c>
      <c r="E238" s="5">
        <f>IF(B238&lt;&gt;"",YEAR(B238),"")</f>
        <v/>
      </c>
      <c r="F238" s="6" t="n"/>
      <c r="G238" s="6" t="n"/>
      <c r="H238" s="6" t="n"/>
      <c r="I238" s="5">
        <f>IF(H238="","",IFERROR(INDEX(Szabályok!$B$13:$B$200,MATCH(H238,Szabályok!$A$13:$A$200,0)),""))</f>
        <v/>
      </c>
      <c r="J238" s="5">
        <f>IF(H238="","",IFERROR(INDEX(Szabályok!$C$13:$C$200,MATCH(H238,Szabályok!$A$13:$A$200,0)),""))</f>
        <v/>
      </c>
      <c r="K238" s="5">
        <f>IF(H238="","",IFERROR(INDEX(Szabályok!$D$13:$D$200,MATCH(H238,Szabályok!$A$13:$A$200,0)),""))</f>
        <v/>
      </c>
      <c r="L238" s="5">
        <f>IF(H238="","",IFERROR(INDEX(Szabályok!$E$13:$E$200,MATCH(H238,Szabályok!$A$13:$A$200,0)),""))</f>
        <v/>
      </c>
      <c r="M238" s="5">
        <f>IF(H238="","",IFERROR(INDEX(Szabályok!$F$13:$F$200,MATCH(H238,Szabályok!$A$13:$A$200,0)),""))</f>
        <v/>
      </c>
      <c r="N238" s="5">
        <f>IF(H238="","",IFERROR(INDEX(Szabályok!$G$13:$G$200,MATCH(H238,Szabályok!$A$13:$A$200,0)),""))</f>
        <v/>
      </c>
      <c r="O238" s="5">
        <f>IF(H238="","",IFERROR(INDEX(Szabályok!$H$13:$H$200,MATCH(H238,Szabályok!$A$13:$A$200,0)),""))</f>
        <v/>
      </c>
      <c r="P238" s="5" t="n"/>
      <c r="Q238" s="6" t="n"/>
      <c r="R238" s="6" t="n"/>
      <c r="S238" s="6">
        <f>IF(COUNT(Q238:R238)=0,"",SUM(Q238:R238))</f>
        <v/>
      </c>
      <c r="T238" s="6" t="n"/>
      <c r="U238" s="5">
        <f>IF(T238="","",IF(L238&lt;&gt;"IGEN","IGEN",IF(S238&gt;=T238,"IGEN","NEM")))</f>
        <v/>
      </c>
      <c r="V238" s="5" t="n"/>
      <c r="W238" s="5" t="n"/>
      <c r="X238" s="5" t="n"/>
      <c r="Y238" s="5" t="n"/>
      <c r="Z238" s="5">
        <f>IF(X238="","",IF(COUNTIFS($X$5:$X$304,X238,$I$5:$I$304,"&lt;"&amp;I238)=0,I238,""))</f>
        <v/>
      </c>
      <c r="AA238" s="5">
        <f>IF(X238="","",IF(COUNTIFS($X$5:$X$304,X238,$I$5:$I$304,"&lt;"&amp;I238)&gt;0,"NEM",IF(COUNTIFS($X$5:$X$304,X238,$I$5:$I$304,I238)=1,"IGEN",IF(Y238=1,"IGEN","NEM"))))</f>
        <v/>
      </c>
      <c r="AB238" s="5">
        <f>IF(OR(I238="",J238=""),"",IF(OR(I238=0,V238="IGEN",W238="IGEN"),"X",IF(AND(K238&lt;&gt;"IGEN",L238="IGEN",U238="NEM"),"X",IF(AA238="IGEN",J238,"X"))))</f>
        <v/>
      </c>
      <c r="AC238" s="5">
        <f>IF(AB238="X",0,IF(D238="","",D238))</f>
        <v/>
      </c>
      <c r="AD238" s="5">
        <f>IF(AB238="X",IF(D238="","",D238),0)</f>
        <v/>
      </c>
      <c r="AE238" s="6" t="n"/>
      <c r="AF238" s="6">
        <f>IF(E238="","",SUMIFS($AI$5:AI238,$E$5:E238,E238)-AI238)</f>
        <v/>
      </c>
      <c r="AG238" s="6">
        <f>IF(AE238="","",MAX(0,AE238-AF238))</f>
        <v/>
      </c>
      <c r="AH238" s="6">
        <f>IF(S238="","",IF(OR(I238=0,V238="IGEN",W238="IGEN"),0,IF(AND(K238&lt;&gt;"IGEN",L238="IGEN",U238="NEM"),0,S238)))</f>
        <v/>
      </c>
      <c r="AI238" s="6">
        <f>IF(AH238="","",IF(M238="IGEN",MIN(AH238,AG238),AH238))</f>
        <v/>
      </c>
      <c r="AJ238" s="5" t="n"/>
    </row>
    <row r="239">
      <c r="A239" s="5" t="n"/>
      <c r="B239" s="5" t="n"/>
      <c r="C239" s="5" t="n"/>
      <c r="D239" s="5">
        <f>IF(AND(B239&lt;&gt;"",C239&lt;&gt;""),C239-B239+1,"")</f>
        <v/>
      </c>
      <c r="E239" s="5">
        <f>IF(B239&lt;&gt;"",YEAR(B239),"")</f>
        <v/>
      </c>
      <c r="F239" s="6" t="n"/>
      <c r="G239" s="6" t="n"/>
      <c r="H239" s="6" t="n"/>
      <c r="I239" s="5">
        <f>IF(H239="","",IFERROR(INDEX(Szabályok!$B$13:$B$200,MATCH(H239,Szabályok!$A$13:$A$200,0)),""))</f>
        <v/>
      </c>
      <c r="J239" s="5">
        <f>IF(H239="","",IFERROR(INDEX(Szabályok!$C$13:$C$200,MATCH(H239,Szabályok!$A$13:$A$200,0)),""))</f>
        <v/>
      </c>
      <c r="K239" s="5">
        <f>IF(H239="","",IFERROR(INDEX(Szabályok!$D$13:$D$200,MATCH(H239,Szabályok!$A$13:$A$200,0)),""))</f>
        <v/>
      </c>
      <c r="L239" s="5">
        <f>IF(H239="","",IFERROR(INDEX(Szabályok!$E$13:$E$200,MATCH(H239,Szabályok!$A$13:$A$200,0)),""))</f>
        <v/>
      </c>
      <c r="M239" s="5">
        <f>IF(H239="","",IFERROR(INDEX(Szabályok!$F$13:$F$200,MATCH(H239,Szabályok!$A$13:$A$200,0)),""))</f>
        <v/>
      </c>
      <c r="N239" s="5">
        <f>IF(H239="","",IFERROR(INDEX(Szabályok!$G$13:$G$200,MATCH(H239,Szabályok!$A$13:$A$200,0)),""))</f>
        <v/>
      </c>
      <c r="O239" s="5">
        <f>IF(H239="","",IFERROR(INDEX(Szabályok!$H$13:$H$200,MATCH(H239,Szabályok!$A$13:$A$200,0)),""))</f>
        <v/>
      </c>
      <c r="P239" s="5" t="n"/>
      <c r="Q239" s="6" t="n"/>
      <c r="R239" s="6" t="n"/>
      <c r="S239" s="6">
        <f>IF(COUNT(Q239:R239)=0,"",SUM(Q239:R239))</f>
        <v/>
      </c>
      <c r="T239" s="6" t="n"/>
      <c r="U239" s="5">
        <f>IF(T239="","",IF(L239&lt;&gt;"IGEN","IGEN",IF(S239&gt;=T239,"IGEN","NEM")))</f>
        <v/>
      </c>
      <c r="V239" s="5" t="n"/>
      <c r="W239" s="5" t="n"/>
      <c r="X239" s="5" t="n"/>
      <c r="Y239" s="5" t="n"/>
      <c r="Z239" s="5">
        <f>IF(X239="","",IF(COUNTIFS($X$5:$X$304,X239,$I$5:$I$304,"&lt;"&amp;I239)=0,I239,""))</f>
        <v/>
      </c>
      <c r="AA239" s="5">
        <f>IF(X239="","",IF(COUNTIFS($X$5:$X$304,X239,$I$5:$I$304,"&lt;"&amp;I239)&gt;0,"NEM",IF(COUNTIFS($X$5:$X$304,X239,$I$5:$I$304,I239)=1,"IGEN",IF(Y239=1,"IGEN","NEM"))))</f>
        <v/>
      </c>
      <c r="AB239" s="5">
        <f>IF(OR(I239="",J239=""),"",IF(OR(I239=0,V239="IGEN",W239="IGEN"),"X",IF(AND(K239&lt;&gt;"IGEN",L239="IGEN",U239="NEM"),"X",IF(AA239="IGEN",J239,"X"))))</f>
        <v/>
      </c>
      <c r="AC239" s="5">
        <f>IF(AB239="X",0,IF(D239="","",D239))</f>
        <v/>
      </c>
      <c r="AD239" s="5">
        <f>IF(AB239="X",IF(D239="","",D239),0)</f>
        <v/>
      </c>
      <c r="AE239" s="6" t="n"/>
      <c r="AF239" s="6">
        <f>IF(E239="","",SUMIFS($AI$5:AI239,$E$5:E239,E239)-AI239)</f>
        <v/>
      </c>
      <c r="AG239" s="6">
        <f>IF(AE239="","",MAX(0,AE239-AF239))</f>
        <v/>
      </c>
      <c r="AH239" s="6">
        <f>IF(S239="","",IF(OR(I239=0,V239="IGEN",W239="IGEN"),0,IF(AND(K239&lt;&gt;"IGEN",L239="IGEN",U239="NEM"),0,S239)))</f>
        <v/>
      </c>
      <c r="AI239" s="6">
        <f>IF(AH239="","",IF(M239="IGEN",MIN(AH239,AG239),AH239))</f>
        <v/>
      </c>
      <c r="AJ239" s="5" t="n"/>
    </row>
    <row r="240">
      <c r="A240" s="5" t="n"/>
      <c r="B240" s="5" t="n"/>
      <c r="C240" s="5" t="n"/>
      <c r="D240" s="5">
        <f>IF(AND(B240&lt;&gt;"",C240&lt;&gt;""),C240-B240+1,"")</f>
        <v/>
      </c>
      <c r="E240" s="5">
        <f>IF(B240&lt;&gt;"",YEAR(B240),"")</f>
        <v/>
      </c>
      <c r="F240" s="6" t="n"/>
      <c r="G240" s="6" t="n"/>
      <c r="H240" s="6" t="n"/>
      <c r="I240" s="5">
        <f>IF(H240="","",IFERROR(INDEX(Szabályok!$B$13:$B$200,MATCH(H240,Szabályok!$A$13:$A$200,0)),""))</f>
        <v/>
      </c>
      <c r="J240" s="5">
        <f>IF(H240="","",IFERROR(INDEX(Szabályok!$C$13:$C$200,MATCH(H240,Szabályok!$A$13:$A$200,0)),""))</f>
        <v/>
      </c>
      <c r="K240" s="5">
        <f>IF(H240="","",IFERROR(INDEX(Szabályok!$D$13:$D$200,MATCH(H240,Szabályok!$A$13:$A$200,0)),""))</f>
        <v/>
      </c>
      <c r="L240" s="5">
        <f>IF(H240="","",IFERROR(INDEX(Szabályok!$E$13:$E$200,MATCH(H240,Szabályok!$A$13:$A$200,0)),""))</f>
        <v/>
      </c>
      <c r="M240" s="5">
        <f>IF(H240="","",IFERROR(INDEX(Szabályok!$F$13:$F$200,MATCH(H240,Szabályok!$A$13:$A$200,0)),""))</f>
        <v/>
      </c>
      <c r="N240" s="5">
        <f>IF(H240="","",IFERROR(INDEX(Szabályok!$G$13:$G$200,MATCH(H240,Szabályok!$A$13:$A$200,0)),""))</f>
        <v/>
      </c>
      <c r="O240" s="5">
        <f>IF(H240="","",IFERROR(INDEX(Szabályok!$H$13:$H$200,MATCH(H240,Szabályok!$A$13:$A$200,0)),""))</f>
        <v/>
      </c>
      <c r="P240" s="5" t="n"/>
      <c r="Q240" s="6" t="n"/>
      <c r="R240" s="6" t="n"/>
      <c r="S240" s="6">
        <f>IF(COUNT(Q240:R240)=0,"",SUM(Q240:R240))</f>
        <v/>
      </c>
      <c r="T240" s="6" t="n"/>
      <c r="U240" s="5">
        <f>IF(T240="","",IF(L240&lt;&gt;"IGEN","IGEN",IF(S240&gt;=T240,"IGEN","NEM")))</f>
        <v/>
      </c>
      <c r="V240" s="5" t="n"/>
      <c r="W240" s="5" t="n"/>
      <c r="X240" s="5" t="n"/>
      <c r="Y240" s="5" t="n"/>
      <c r="Z240" s="5">
        <f>IF(X240="","",IF(COUNTIFS($X$5:$X$304,X240,$I$5:$I$304,"&lt;"&amp;I240)=0,I240,""))</f>
        <v/>
      </c>
      <c r="AA240" s="5">
        <f>IF(X240="","",IF(COUNTIFS($X$5:$X$304,X240,$I$5:$I$304,"&lt;"&amp;I240)&gt;0,"NEM",IF(COUNTIFS($X$5:$X$304,X240,$I$5:$I$304,I240)=1,"IGEN",IF(Y240=1,"IGEN","NEM"))))</f>
        <v/>
      </c>
      <c r="AB240" s="5">
        <f>IF(OR(I240="",J240=""),"",IF(OR(I240=0,V240="IGEN",W240="IGEN"),"X",IF(AND(K240&lt;&gt;"IGEN",L240="IGEN",U240="NEM"),"X",IF(AA240="IGEN",J240,"X"))))</f>
        <v/>
      </c>
      <c r="AC240" s="5">
        <f>IF(AB240="X",0,IF(D240="","",D240))</f>
        <v/>
      </c>
      <c r="AD240" s="5">
        <f>IF(AB240="X",IF(D240="","",D240),0)</f>
        <v/>
      </c>
      <c r="AE240" s="6" t="n"/>
      <c r="AF240" s="6">
        <f>IF(E240="","",SUMIFS($AI$5:AI240,$E$5:E240,E240)-AI240)</f>
        <v/>
      </c>
      <c r="AG240" s="6">
        <f>IF(AE240="","",MAX(0,AE240-AF240))</f>
        <v/>
      </c>
      <c r="AH240" s="6">
        <f>IF(S240="","",IF(OR(I240=0,V240="IGEN",W240="IGEN"),0,IF(AND(K240&lt;&gt;"IGEN",L240="IGEN",U240="NEM"),0,S240)))</f>
        <v/>
      </c>
      <c r="AI240" s="6">
        <f>IF(AH240="","",IF(M240="IGEN",MIN(AH240,AG240),AH240))</f>
        <v/>
      </c>
      <c r="AJ240" s="5" t="n"/>
    </row>
    <row r="241">
      <c r="A241" s="5" t="n"/>
      <c r="B241" s="5" t="n"/>
      <c r="C241" s="5" t="n"/>
      <c r="D241" s="5">
        <f>IF(AND(B241&lt;&gt;"",C241&lt;&gt;""),C241-B241+1,"")</f>
        <v/>
      </c>
      <c r="E241" s="5">
        <f>IF(B241&lt;&gt;"",YEAR(B241),"")</f>
        <v/>
      </c>
      <c r="F241" s="6" t="n"/>
      <c r="G241" s="6" t="n"/>
      <c r="H241" s="6" t="n"/>
      <c r="I241" s="5">
        <f>IF(H241="","",IFERROR(INDEX(Szabályok!$B$13:$B$200,MATCH(H241,Szabályok!$A$13:$A$200,0)),""))</f>
        <v/>
      </c>
      <c r="J241" s="5">
        <f>IF(H241="","",IFERROR(INDEX(Szabályok!$C$13:$C$200,MATCH(H241,Szabályok!$A$13:$A$200,0)),""))</f>
        <v/>
      </c>
      <c r="K241" s="5">
        <f>IF(H241="","",IFERROR(INDEX(Szabályok!$D$13:$D$200,MATCH(H241,Szabályok!$A$13:$A$200,0)),""))</f>
        <v/>
      </c>
      <c r="L241" s="5">
        <f>IF(H241="","",IFERROR(INDEX(Szabályok!$E$13:$E$200,MATCH(H241,Szabályok!$A$13:$A$200,0)),""))</f>
        <v/>
      </c>
      <c r="M241" s="5">
        <f>IF(H241="","",IFERROR(INDEX(Szabályok!$F$13:$F$200,MATCH(H241,Szabályok!$A$13:$A$200,0)),""))</f>
        <v/>
      </c>
      <c r="N241" s="5">
        <f>IF(H241="","",IFERROR(INDEX(Szabályok!$G$13:$G$200,MATCH(H241,Szabályok!$A$13:$A$200,0)),""))</f>
        <v/>
      </c>
      <c r="O241" s="5">
        <f>IF(H241="","",IFERROR(INDEX(Szabályok!$H$13:$H$200,MATCH(H241,Szabályok!$A$13:$A$200,0)),""))</f>
        <v/>
      </c>
      <c r="P241" s="5" t="n"/>
      <c r="Q241" s="6" t="n"/>
      <c r="R241" s="6" t="n"/>
      <c r="S241" s="6">
        <f>IF(COUNT(Q241:R241)=0,"",SUM(Q241:R241))</f>
        <v/>
      </c>
      <c r="T241" s="6" t="n"/>
      <c r="U241" s="5">
        <f>IF(T241="","",IF(L241&lt;&gt;"IGEN","IGEN",IF(S241&gt;=T241,"IGEN","NEM")))</f>
        <v/>
      </c>
      <c r="V241" s="5" t="n"/>
      <c r="W241" s="5" t="n"/>
      <c r="X241" s="5" t="n"/>
      <c r="Y241" s="5" t="n"/>
      <c r="Z241" s="5">
        <f>IF(X241="","",IF(COUNTIFS($X$5:$X$304,X241,$I$5:$I$304,"&lt;"&amp;I241)=0,I241,""))</f>
        <v/>
      </c>
      <c r="AA241" s="5">
        <f>IF(X241="","",IF(COUNTIFS($X$5:$X$304,X241,$I$5:$I$304,"&lt;"&amp;I241)&gt;0,"NEM",IF(COUNTIFS($X$5:$X$304,X241,$I$5:$I$304,I241)=1,"IGEN",IF(Y241=1,"IGEN","NEM"))))</f>
        <v/>
      </c>
      <c r="AB241" s="5">
        <f>IF(OR(I241="",J241=""),"",IF(OR(I241=0,V241="IGEN",W241="IGEN"),"X",IF(AND(K241&lt;&gt;"IGEN",L241="IGEN",U241="NEM"),"X",IF(AA241="IGEN",J241,"X"))))</f>
        <v/>
      </c>
      <c r="AC241" s="5">
        <f>IF(AB241="X",0,IF(D241="","",D241))</f>
        <v/>
      </c>
      <c r="AD241" s="5">
        <f>IF(AB241="X",IF(D241="","",D241),0)</f>
        <v/>
      </c>
      <c r="AE241" s="6" t="n"/>
      <c r="AF241" s="6">
        <f>IF(E241="","",SUMIFS($AI$5:AI241,$E$5:E241,E241)-AI241)</f>
        <v/>
      </c>
      <c r="AG241" s="6">
        <f>IF(AE241="","",MAX(0,AE241-AF241))</f>
        <v/>
      </c>
      <c r="AH241" s="6">
        <f>IF(S241="","",IF(OR(I241=0,V241="IGEN",W241="IGEN"),0,IF(AND(K241&lt;&gt;"IGEN",L241="IGEN",U241="NEM"),0,S241)))</f>
        <v/>
      </c>
      <c r="AI241" s="6">
        <f>IF(AH241="","",IF(M241="IGEN",MIN(AH241,AG241),AH241))</f>
        <v/>
      </c>
      <c r="AJ241" s="5" t="n"/>
    </row>
    <row r="242">
      <c r="A242" s="5" t="n"/>
      <c r="B242" s="5" t="n"/>
      <c r="C242" s="5" t="n"/>
      <c r="D242" s="5">
        <f>IF(AND(B242&lt;&gt;"",C242&lt;&gt;""),C242-B242+1,"")</f>
        <v/>
      </c>
      <c r="E242" s="5">
        <f>IF(B242&lt;&gt;"",YEAR(B242),"")</f>
        <v/>
      </c>
      <c r="F242" s="6" t="n"/>
      <c r="G242" s="6" t="n"/>
      <c r="H242" s="6" t="n"/>
      <c r="I242" s="5">
        <f>IF(H242="","",IFERROR(INDEX(Szabályok!$B$13:$B$200,MATCH(H242,Szabályok!$A$13:$A$200,0)),""))</f>
        <v/>
      </c>
      <c r="J242" s="5">
        <f>IF(H242="","",IFERROR(INDEX(Szabályok!$C$13:$C$200,MATCH(H242,Szabályok!$A$13:$A$200,0)),""))</f>
        <v/>
      </c>
      <c r="K242" s="5">
        <f>IF(H242="","",IFERROR(INDEX(Szabályok!$D$13:$D$200,MATCH(H242,Szabályok!$A$13:$A$200,0)),""))</f>
        <v/>
      </c>
      <c r="L242" s="5">
        <f>IF(H242="","",IFERROR(INDEX(Szabályok!$E$13:$E$200,MATCH(H242,Szabályok!$A$13:$A$200,0)),""))</f>
        <v/>
      </c>
      <c r="M242" s="5">
        <f>IF(H242="","",IFERROR(INDEX(Szabályok!$F$13:$F$200,MATCH(H242,Szabályok!$A$13:$A$200,0)),""))</f>
        <v/>
      </c>
      <c r="N242" s="5">
        <f>IF(H242="","",IFERROR(INDEX(Szabályok!$G$13:$G$200,MATCH(H242,Szabályok!$A$13:$A$200,0)),""))</f>
        <v/>
      </c>
      <c r="O242" s="5">
        <f>IF(H242="","",IFERROR(INDEX(Szabályok!$H$13:$H$200,MATCH(H242,Szabályok!$A$13:$A$200,0)),""))</f>
        <v/>
      </c>
      <c r="P242" s="5" t="n"/>
      <c r="Q242" s="6" t="n"/>
      <c r="R242" s="6" t="n"/>
      <c r="S242" s="6">
        <f>IF(COUNT(Q242:R242)=0,"",SUM(Q242:R242))</f>
        <v/>
      </c>
      <c r="T242" s="6" t="n"/>
      <c r="U242" s="5">
        <f>IF(T242="","",IF(L242&lt;&gt;"IGEN","IGEN",IF(S242&gt;=T242,"IGEN","NEM")))</f>
        <v/>
      </c>
      <c r="V242" s="5" t="n"/>
      <c r="W242" s="5" t="n"/>
      <c r="X242" s="5" t="n"/>
      <c r="Y242" s="5" t="n"/>
      <c r="Z242" s="5">
        <f>IF(X242="","",IF(COUNTIFS($X$5:$X$304,X242,$I$5:$I$304,"&lt;"&amp;I242)=0,I242,""))</f>
        <v/>
      </c>
      <c r="AA242" s="5">
        <f>IF(X242="","",IF(COUNTIFS($X$5:$X$304,X242,$I$5:$I$304,"&lt;"&amp;I242)&gt;0,"NEM",IF(COUNTIFS($X$5:$X$304,X242,$I$5:$I$304,I242)=1,"IGEN",IF(Y242=1,"IGEN","NEM"))))</f>
        <v/>
      </c>
      <c r="AB242" s="5">
        <f>IF(OR(I242="",J242=""),"",IF(OR(I242=0,V242="IGEN",W242="IGEN"),"X",IF(AND(K242&lt;&gt;"IGEN",L242="IGEN",U242="NEM"),"X",IF(AA242="IGEN",J242,"X"))))</f>
        <v/>
      </c>
      <c r="AC242" s="5">
        <f>IF(AB242="X",0,IF(D242="","",D242))</f>
        <v/>
      </c>
      <c r="AD242" s="5">
        <f>IF(AB242="X",IF(D242="","",D242),0)</f>
        <v/>
      </c>
      <c r="AE242" s="6" t="n"/>
      <c r="AF242" s="6">
        <f>IF(E242="","",SUMIFS($AI$5:AI242,$E$5:E242,E242)-AI242)</f>
        <v/>
      </c>
      <c r="AG242" s="6">
        <f>IF(AE242="","",MAX(0,AE242-AF242))</f>
        <v/>
      </c>
      <c r="AH242" s="6">
        <f>IF(S242="","",IF(OR(I242=0,V242="IGEN",W242="IGEN"),0,IF(AND(K242&lt;&gt;"IGEN",L242="IGEN",U242="NEM"),0,S242)))</f>
        <v/>
      </c>
      <c r="AI242" s="6">
        <f>IF(AH242="","",IF(M242="IGEN",MIN(AH242,AG242),AH242))</f>
        <v/>
      </c>
      <c r="AJ242" s="5" t="n"/>
    </row>
    <row r="243">
      <c r="A243" s="5" t="n"/>
      <c r="B243" s="5" t="n"/>
      <c r="C243" s="5" t="n"/>
      <c r="D243" s="5">
        <f>IF(AND(B243&lt;&gt;"",C243&lt;&gt;""),C243-B243+1,"")</f>
        <v/>
      </c>
      <c r="E243" s="5">
        <f>IF(B243&lt;&gt;"",YEAR(B243),"")</f>
        <v/>
      </c>
      <c r="F243" s="6" t="n"/>
      <c r="G243" s="6" t="n"/>
      <c r="H243" s="6" t="n"/>
      <c r="I243" s="5">
        <f>IF(H243="","",IFERROR(INDEX(Szabályok!$B$13:$B$200,MATCH(H243,Szabályok!$A$13:$A$200,0)),""))</f>
        <v/>
      </c>
      <c r="J243" s="5">
        <f>IF(H243="","",IFERROR(INDEX(Szabályok!$C$13:$C$200,MATCH(H243,Szabályok!$A$13:$A$200,0)),""))</f>
        <v/>
      </c>
      <c r="K243" s="5">
        <f>IF(H243="","",IFERROR(INDEX(Szabályok!$D$13:$D$200,MATCH(H243,Szabályok!$A$13:$A$200,0)),""))</f>
        <v/>
      </c>
      <c r="L243" s="5">
        <f>IF(H243="","",IFERROR(INDEX(Szabályok!$E$13:$E$200,MATCH(H243,Szabályok!$A$13:$A$200,0)),""))</f>
        <v/>
      </c>
      <c r="M243" s="5">
        <f>IF(H243="","",IFERROR(INDEX(Szabályok!$F$13:$F$200,MATCH(H243,Szabályok!$A$13:$A$200,0)),""))</f>
        <v/>
      </c>
      <c r="N243" s="5">
        <f>IF(H243="","",IFERROR(INDEX(Szabályok!$G$13:$G$200,MATCH(H243,Szabályok!$A$13:$A$200,0)),""))</f>
        <v/>
      </c>
      <c r="O243" s="5">
        <f>IF(H243="","",IFERROR(INDEX(Szabályok!$H$13:$H$200,MATCH(H243,Szabályok!$A$13:$A$200,0)),""))</f>
        <v/>
      </c>
      <c r="P243" s="5" t="n"/>
      <c r="Q243" s="6" t="n"/>
      <c r="R243" s="6" t="n"/>
      <c r="S243" s="6">
        <f>IF(COUNT(Q243:R243)=0,"",SUM(Q243:R243))</f>
        <v/>
      </c>
      <c r="T243" s="6" t="n"/>
      <c r="U243" s="5">
        <f>IF(T243="","",IF(L243&lt;&gt;"IGEN","IGEN",IF(S243&gt;=T243,"IGEN","NEM")))</f>
        <v/>
      </c>
      <c r="V243" s="5" t="n"/>
      <c r="W243" s="5" t="n"/>
      <c r="X243" s="5" t="n"/>
      <c r="Y243" s="5" t="n"/>
      <c r="Z243" s="5">
        <f>IF(X243="","",IF(COUNTIFS($X$5:$X$304,X243,$I$5:$I$304,"&lt;"&amp;I243)=0,I243,""))</f>
        <v/>
      </c>
      <c r="AA243" s="5">
        <f>IF(X243="","",IF(COUNTIFS($X$5:$X$304,X243,$I$5:$I$304,"&lt;"&amp;I243)&gt;0,"NEM",IF(COUNTIFS($X$5:$X$304,X243,$I$5:$I$304,I243)=1,"IGEN",IF(Y243=1,"IGEN","NEM"))))</f>
        <v/>
      </c>
      <c r="AB243" s="5">
        <f>IF(OR(I243="",J243=""),"",IF(OR(I243=0,V243="IGEN",W243="IGEN"),"X",IF(AND(K243&lt;&gt;"IGEN",L243="IGEN",U243="NEM"),"X",IF(AA243="IGEN",J243,"X"))))</f>
        <v/>
      </c>
      <c r="AC243" s="5">
        <f>IF(AB243="X",0,IF(D243="","",D243))</f>
        <v/>
      </c>
      <c r="AD243" s="5">
        <f>IF(AB243="X",IF(D243="","",D243),0)</f>
        <v/>
      </c>
      <c r="AE243" s="6" t="n"/>
      <c r="AF243" s="6">
        <f>IF(E243="","",SUMIFS($AI$5:AI243,$E$5:E243,E243)-AI243)</f>
        <v/>
      </c>
      <c r="AG243" s="6">
        <f>IF(AE243="","",MAX(0,AE243-AF243))</f>
        <v/>
      </c>
      <c r="AH243" s="6">
        <f>IF(S243="","",IF(OR(I243=0,V243="IGEN",W243="IGEN"),0,IF(AND(K243&lt;&gt;"IGEN",L243="IGEN",U243="NEM"),0,S243)))</f>
        <v/>
      </c>
      <c r="AI243" s="6">
        <f>IF(AH243="","",IF(M243="IGEN",MIN(AH243,AG243),AH243))</f>
        <v/>
      </c>
      <c r="AJ243" s="5" t="n"/>
    </row>
    <row r="244">
      <c r="A244" s="5" t="n"/>
      <c r="B244" s="5" t="n"/>
      <c r="C244" s="5" t="n"/>
      <c r="D244" s="5">
        <f>IF(AND(B244&lt;&gt;"",C244&lt;&gt;""),C244-B244+1,"")</f>
        <v/>
      </c>
      <c r="E244" s="5">
        <f>IF(B244&lt;&gt;"",YEAR(B244),"")</f>
        <v/>
      </c>
      <c r="F244" s="6" t="n"/>
      <c r="G244" s="6" t="n"/>
      <c r="H244" s="6" t="n"/>
      <c r="I244" s="5">
        <f>IF(H244="","",IFERROR(INDEX(Szabályok!$B$13:$B$200,MATCH(H244,Szabályok!$A$13:$A$200,0)),""))</f>
        <v/>
      </c>
      <c r="J244" s="5">
        <f>IF(H244="","",IFERROR(INDEX(Szabályok!$C$13:$C$200,MATCH(H244,Szabályok!$A$13:$A$200,0)),""))</f>
        <v/>
      </c>
      <c r="K244" s="5">
        <f>IF(H244="","",IFERROR(INDEX(Szabályok!$D$13:$D$200,MATCH(H244,Szabályok!$A$13:$A$200,0)),""))</f>
        <v/>
      </c>
      <c r="L244" s="5">
        <f>IF(H244="","",IFERROR(INDEX(Szabályok!$E$13:$E$200,MATCH(H244,Szabályok!$A$13:$A$200,0)),""))</f>
        <v/>
      </c>
      <c r="M244" s="5">
        <f>IF(H244="","",IFERROR(INDEX(Szabályok!$F$13:$F$200,MATCH(H244,Szabályok!$A$13:$A$200,0)),""))</f>
        <v/>
      </c>
      <c r="N244" s="5">
        <f>IF(H244="","",IFERROR(INDEX(Szabályok!$G$13:$G$200,MATCH(H244,Szabályok!$A$13:$A$200,0)),""))</f>
        <v/>
      </c>
      <c r="O244" s="5">
        <f>IF(H244="","",IFERROR(INDEX(Szabályok!$H$13:$H$200,MATCH(H244,Szabályok!$A$13:$A$200,0)),""))</f>
        <v/>
      </c>
      <c r="P244" s="5" t="n"/>
      <c r="Q244" s="6" t="n"/>
      <c r="R244" s="6" t="n"/>
      <c r="S244" s="6">
        <f>IF(COUNT(Q244:R244)=0,"",SUM(Q244:R244))</f>
        <v/>
      </c>
      <c r="T244" s="6" t="n"/>
      <c r="U244" s="5">
        <f>IF(T244="","",IF(L244&lt;&gt;"IGEN","IGEN",IF(S244&gt;=T244,"IGEN","NEM")))</f>
        <v/>
      </c>
      <c r="V244" s="5" t="n"/>
      <c r="W244" s="5" t="n"/>
      <c r="X244" s="5" t="n"/>
      <c r="Y244" s="5" t="n"/>
      <c r="Z244" s="5">
        <f>IF(X244="","",IF(COUNTIFS($X$5:$X$304,X244,$I$5:$I$304,"&lt;"&amp;I244)=0,I244,""))</f>
        <v/>
      </c>
      <c r="AA244" s="5">
        <f>IF(X244="","",IF(COUNTIFS($X$5:$X$304,X244,$I$5:$I$304,"&lt;"&amp;I244)&gt;0,"NEM",IF(COUNTIFS($X$5:$X$304,X244,$I$5:$I$304,I244)=1,"IGEN",IF(Y244=1,"IGEN","NEM"))))</f>
        <v/>
      </c>
      <c r="AB244" s="5">
        <f>IF(OR(I244="",J244=""),"",IF(OR(I244=0,V244="IGEN",W244="IGEN"),"X",IF(AND(K244&lt;&gt;"IGEN",L244="IGEN",U244="NEM"),"X",IF(AA244="IGEN",J244,"X"))))</f>
        <v/>
      </c>
      <c r="AC244" s="5">
        <f>IF(AB244="X",0,IF(D244="","",D244))</f>
        <v/>
      </c>
      <c r="AD244" s="5">
        <f>IF(AB244="X",IF(D244="","",D244),0)</f>
        <v/>
      </c>
      <c r="AE244" s="6" t="n"/>
      <c r="AF244" s="6">
        <f>IF(E244="","",SUMIFS($AI$5:AI244,$E$5:E244,E244)-AI244)</f>
        <v/>
      </c>
      <c r="AG244" s="6">
        <f>IF(AE244="","",MAX(0,AE244-AF244))</f>
        <v/>
      </c>
      <c r="AH244" s="6">
        <f>IF(S244="","",IF(OR(I244=0,V244="IGEN",W244="IGEN"),0,IF(AND(K244&lt;&gt;"IGEN",L244="IGEN",U244="NEM"),0,S244)))</f>
        <v/>
      </c>
      <c r="AI244" s="6">
        <f>IF(AH244="","",IF(M244="IGEN",MIN(AH244,AG244),AH244))</f>
        <v/>
      </c>
      <c r="AJ244" s="5" t="n"/>
    </row>
    <row r="245">
      <c r="A245" s="5" t="n"/>
      <c r="B245" s="5" t="n"/>
      <c r="C245" s="5" t="n"/>
      <c r="D245" s="5">
        <f>IF(AND(B245&lt;&gt;"",C245&lt;&gt;""),C245-B245+1,"")</f>
        <v/>
      </c>
      <c r="E245" s="5">
        <f>IF(B245&lt;&gt;"",YEAR(B245),"")</f>
        <v/>
      </c>
      <c r="F245" s="6" t="n"/>
      <c r="G245" s="6" t="n"/>
      <c r="H245" s="6" t="n"/>
      <c r="I245" s="5">
        <f>IF(H245="","",IFERROR(INDEX(Szabályok!$B$13:$B$200,MATCH(H245,Szabályok!$A$13:$A$200,0)),""))</f>
        <v/>
      </c>
      <c r="J245" s="5">
        <f>IF(H245="","",IFERROR(INDEX(Szabályok!$C$13:$C$200,MATCH(H245,Szabályok!$A$13:$A$200,0)),""))</f>
        <v/>
      </c>
      <c r="K245" s="5">
        <f>IF(H245="","",IFERROR(INDEX(Szabályok!$D$13:$D$200,MATCH(H245,Szabályok!$A$13:$A$200,0)),""))</f>
        <v/>
      </c>
      <c r="L245" s="5">
        <f>IF(H245="","",IFERROR(INDEX(Szabályok!$E$13:$E$200,MATCH(H245,Szabályok!$A$13:$A$200,0)),""))</f>
        <v/>
      </c>
      <c r="M245" s="5">
        <f>IF(H245="","",IFERROR(INDEX(Szabályok!$F$13:$F$200,MATCH(H245,Szabályok!$A$13:$A$200,0)),""))</f>
        <v/>
      </c>
      <c r="N245" s="5">
        <f>IF(H245="","",IFERROR(INDEX(Szabályok!$G$13:$G$200,MATCH(H245,Szabályok!$A$13:$A$200,0)),""))</f>
        <v/>
      </c>
      <c r="O245" s="5">
        <f>IF(H245="","",IFERROR(INDEX(Szabályok!$H$13:$H$200,MATCH(H245,Szabályok!$A$13:$A$200,0)),""))</f>
        <v/>
      </c>
      <c r="P245" s="5" t="n"/>
      <c r="Q245" s="6" t="n"/>
      <c r="R245" s="6" t="n"/>
      <c r="S245" s="6">
        <f>IF(COUNT(Q245:R245)=0,"",SUM(Q245:R245))</f>
        <v/>
      </c>
      <c r="T245" s="6" t="n"/>
      <c r="U245" s="5">
        <f>IF(T245="","",IF(L245&lt;&gt;"IGEN","IGEN",IF(S245&gt;=T245,"IGEN","NEM")))</f>
        <v/>
      </c>
      <c r="V245" s="5" t="n"/>
      <c r="W245" s="5" t="n"/>
      <c r="X245" s="5" t="n"/>
      <c r="Y245" s="5" t="n"/>
      <c r="Z245" s="5">
        <f>IF(X245="","",IF(COUNTIFS($X$5:$X$304,X245,$I$5:$I$304,"&lt;"&amp;I245)=0,I245,""))</f>
        <v/>
      </c>
      <c r="AA245" s="5">
        <f>IF(X245="","",IF(COUNTIFS($X$5:$X$304,X245,$I$5:$I$304,"&lt;"&amp;I245)&gt;0,"NEM",IF(COUNTIFS($X$5:$X$304,X245,$I$5:$I$304,I245)=1,"IGEN",IF(Y245=1,"IGEN","NEM"))))</f>
        <v/>
      </c>
      <c r="AB245" s="5">
        <f>IF(OR(I245="",J245=""),"",IF(OR(I245=0,V245="IGEN",W245="IGEN"),"X",IF(AND(K245&lt;&gt;"IGEN",L245="IGEN",U245="NEM"),"X",IF(AA245="IGEN",J245,"X"))))</f>
        <v/>
      </c>
      <c r="AC245" s="5">
        <f>IF(AB245="X",0,IF(D245="","",D245))</f>
        <v/>
      </c>
      <c r="AD245" s="5">
        <f>IF(AB245="X",IF(D245="","",D245),0)</f>
        <v/>
      </c>
      <c r="AE245" s="6" t="n"/>
      <c r="AF245" s="6">
        <f>IF(E245="","",SUMIFS($AI$5:AI245,$E$5:E245,E245)-AI245)</f>
        <v/>
      </c>
      <c r="AG245" s="6">
        <f>IF(AE245="","",MAX(0,AE245-AF245))</f>
        <v/>
      </c>
      <c r="AH245" s="6">
        <f>IF(S245="","",IF(OR(I245=0,V245="IGEN",W245="IGEN"),0,IF(AND(K245&lt;&gt;"IGEN",L245="IGEN",U245="NEM"),0,S245)))</f>
        <v/>
      </c>
      <c r="AI245" s="6">
        <f>IF(AH245="","",IF(M245="IGEN",MIN(AH245,AG245),AH245))</f>
        <v/>
      </c>
      <c r="AJ245" s="5" t="n"/>
    </row>
    <row r="246">
      <c r="A246" s="5" t="n"/>
      <c r="B246" s="5" t="n"/>
      <c r="C246" s="5" t="n"/>
      <c r="D246" s="5">
        <f>IF(AND(B246&lt;&gt;"",C246&lt;&gt;""),C246-B246+1,"")</f>
        <v/>
      </c>
      <c r="E246" s="5">
        <f>IF(B246&lt;&gt;"",YEAR(B246),"")</f>
        <v/>
      </c>
      <c r="F246" s="6" t="n"/>
      <c r="G246" s="6" t="n"/>
      <c r="H246" s="6" t="n"/>
      <c r="I246" s="5">
        <f>IF(H246="","",IFERROR(INDEX(Szabályok!$B$13:$B$200,MATCH(H246,Szabályok!$A$13:$A$200,0)),""))</f>
        <v/>
      </c>
      <c r="J246" s="5">
        <f>IF(H246="","",IFERROR(INDEX(Szabályok!$C$13:$C$200,MATCH(H246,Szabályok!$A$13:$A$200,0)),""))</f>
        <v/>
      </c>
      <c r="K246" s="5">
        <f>IF(H246="","",IFERROR(INDEX(Szabályok!$D$13:$D$200,MATCH(H246,Szabályok!$A$13:$A$200,0)),""))</f>
        <v/>
      </c>
      <c r="L246" s="5">
        <f>IF(H246="","",IFERROR(INDEX(Szabályok!$E$13:$E$200,MATCH(H246,Szabályok!$A$13:$A$200,0)),""))</f>
        <v/>
      </c>
      <c r="M246" s="5">
        <f>IF(H246="","",IFERROR(INDEX(Szabályok!$F$13:$F$200,MATCH(H246,Szabályok!$A$13:$A$200,0)),""))</f>
        <v/>
      </c>
      <c r="N246" s="5">
        <f>IF(H246="","",IFERROR(INDEX(Szabályok!$G$13:$G$200,MATCH(H246,Szabályok!$A$13:$A$200,0)),""))</f>
        <v/>
      </c>
      <c r="O246" s="5">
        <f>IF(H246="","",IFERROR(INDEX(Szabályok!$H$13:$H$200,MATCH(H246,Szabályok!$A$13:$A$200,0)),""))</f>
        <v/>
      </c>
      <c r="P246" s="5" t="n"/>
      <c r="Q246" s="6" t="n"/>
      <c r="R246" s="6" t="n"/>
      <c r="S246" s="6">
        <f>IF(COUNT(Q246:R246)=0,"",SUM(Q246:R246))</f>
        <v/>
      </c>
      <c r="T246" s="6" t="n"/>
      <c r="U246" s="5">
        <f>IF(T246="","",IF(L246&lt;&gt;"IGEN","IGEN",IF(S246&gt;=T246,"IGEN","NEM")))</f>
        <v/>
      </c>
      <c r="V246" s="5" t="n"/>
      <c r="W246" s="5" t="n"/>
      <c r="X246" s="5" t="n"/>
      <c r="Y246" s="5" t="n"/>
      <c r="Z246" s="5">
        <f>IF(X246="","",IF(COUNTIFS($X$5:$X$304,X246,$I$5:$I$304,"&lt;"&amp;I246)=0,I246,""))</f>
        <v/>
      </c>
      <c r="AA246" s="5">
        <f>IF(X246="","",IF(COUNTIFS($X$5:$X$304,X246,$I$5:$I$304,"&lt;"&amp;I246)&gt;0,"NEM",IF(COUNTIFS($X$5:$X$304,X246,$I$5:$I$304,I246)=1,"IGEN",IF(Y246=1,"IGEN","NEM"))))</f>
        <v/>
      </c>
      <c r="AB246" s="5">
        <f>IF(OR(I246="",J246=""),"",IF(OR(I246=0,V246="IGEN",W246="IGEN"),"X",IF(AND(K246&lt;&gt;"IGEN",L246="IGEN",U246="NEM"),"X",IF(AA246="IGEN",J246,"X"))))</f>
        <v/>
      </c>
      <c r="AC246" s="5">
        <f>IF(AB246="X",0,IF(D246="","",D246))</f>
        <v/>
      </c>
      <c r="AD246" s="5">
        <f>IF(AB246="X",IF(D246="","",D246),0)</f>
        <v/>
      </c>
      <c r="AE246" s="6" t="n"/>
      <c r="AF246" s="6">
        <f>IF(E246="","",SUMIFS($AI$5:AI246,$E$5:E246,E246)-AI246)</f>
        <v/>
      </c>
      <c r="AG246" s="6">
        <f>IF(AE246="","",MAX(0,AE246-AF246))</f>
        <v/>
      </c>
      <c r="AH246" s="6">
        <f>IF(S246="","",IF(OR(I246=0,V246="IGEN",W246="IGEN"),0,IF(AND(K246&lt;&gt;"IGEN",L246="IGEN",U246="NEM"),0,S246)))</f>
        <v/>
      </c>
      <c r="AI246" s="6">
        <f>IF(AH246="","",IF(M246="IGEN",MIN(AH246,AG246),AH246))</f>
        <v/>
      </c>
      <c r="AJ246" s="5" t="n"/>
    </row>
    <row r="247">
      <c r="A247" s="5" t="n"/>
      <c r="B247" s="5" t="n"/>
      <c r="C247" s="5" t="n"/>
      <c r="D247" s="5">
        <f>IF(AND(B247&lt;&gt;"",C247&lt;&gt;""),C247-B247+1,"")</f>
        <v/>
      </c>
      <c r="E247" s="5">
        <f>IF(B247&lt;&gt;"",YEAR(B247),"")</f>
        <v/>
      </c>
      <c r="F247" s="6" t="n"/>
      <c r="G247" s="6" t="n"/>
      <c r="H247" s="6" t="n"/>
      <c r="I247" s="5">
        <f>IF(H247="","",IFERROR(INDEX(Szabályok!$B$13:$B$200,MATCH(H247,Szabályok!$A$13:$A$200,0)),""))</f>
        <v/>
      </c>
      <c r="J247" s="5">
        <f>IF(H247="","",IFERROR(INDEX(Szabályok!$C$13:$C$200,MATCH(H247,Szabályok!$A$13:$A$200,0)),""))</f>
        <v/>
      </c>
      <c r="K247" s="5">
        <f>IF(H247="","",IFERROR(INDEX(Szabályok!$D$13:$D$200,MATCH(H247,Szabályok!$A$13:$A$200,0)),""))</f>
        <v/>
      </c>
      <c r="L247" s="5">
        <f>IF(H247="","",IFERROR(INDEX(Szabályok!$E$13:$E$200,MATCH(H247,Szabályok!$A$13:$A$200,0)),""))</f>
        <v/>
      </c>
      <c r="M247" s="5">
        <f>IF(H247="","",IFERROR(INDEX(Szabályok!$F$13:$F$200,MATCH(H247,Szabályok!$A$13:$A$200,0)),""))</f>
        <v/>
      </c>
      <c r="N247" s="5">
        <f>IF(H247="","",IFERROR(INDEX(Szabályok!$G$13:$G$200,MATCH(H247,Szabályok!$A$13:$A$200,0)),""))</f>
        <v/>
      </c>
      <c r="O247" s="5">
        <f>IF(H247="","",IFERROR(INDEX(Szabályok!$H$13:$H$200,MATCH(H247,Szabályok!$A$13:$A$200,0)),""))</f>
        <v/>
      </c>
      <c r="P247" s="5" t="n"/>
      <c r="Q247" s="6" t="n"/>
      <c r="R247" s="6" t="n"/>
      <c r="S247" s="6">
        <f>IF(COUNT(Q247:R247)=0,"",SUM(Q247:R247))</f>
        <v/>
      </c>
      <c r="T247" s="6" t="n"/>
      <c r="U247" s="5">
        <f>IF(T247="","",IF(L247&lt;&gt;"IGEN","IGEN",IF(S247&gt;=T247,"IGEN","NEM")))</f>
        <v/>
      </c>
      <c r="V247" s="5" t="n"/>
      <c r="W247" s="5" t="n"/>
      <c r="X247" s="5" t="n"/>
      <c r="Y247" s="5" t="n"/>
      <c r="Z247" s="5">
        <f>IF(X247="","",IF(COUNTIFS($X$5:$X$304,X247,$I$5:$I$304,"&lt;"&amp;I247)=0,I247,""))</f>
        <v/>
      </c>
      <c r="AA247" s="5">
        <f>IF(X247="","",IF(COUNTIFS($X$5:$X$304,X247,$I$5:$I$304,"&lt;"&amp;I247)&gt;0,"NEM",IF(COUNTIFS($X$5:$X$304,X247,$I$5:$I$304,I247)=1,"IGEN",IF(Y247=1,"IGEN","NEM"))))</f>
        <v/>
      </c>
      <c r="AB247" s="5">
        <f>IF(OR(I247="",J247=""),"",IF(OR(I247=0,V247="IGEN",W247="IGEN"),"X",IF(AND(K247&lt;&gt;"IGEN",L247="IGEN",U247="NEM"),"X",IF(AA247="IGEN",J247,"X"))))</f>
        <v/>
      </c>
      <c r="AC247" s="5">
        <f>IF(AB247="X",0,IF(D247="","",D247))</f>
        <v/>
      </c>
      <c r="AD247" s="5">
        <f>IF(AB247="X",IF(D247="","",D247),0)</f>
        <v/>
      </c>
      <c r="AE247" s="6" t="n"/>
      <c r="AF247" s="6">
        <f>IF(E247="","",SUMIFS($AI$5:AI247,$E$5:E247,E247)-AI247)</f>
        <v/>
      </c>
      <c r="AG247" s="6">
        <f>IF(AE247="","",MAX(0,AE247-AF247))</f>
        <v/>
      </c>
      <c r="AH247" s="6">
        <f>IF(S247="","",IF(OR(I247=0,V247="IGEN",W247="IGEN"),0,IF(AND(K247&lt;&gt;"IGEN",L247="IGEN",U247="NEM"),0,S247)))</f>
        <v/>
      </c>
      <c r="AI247" s="6">
        <f>IF(AH247="","",IF(M247="IGEN",MIN(AH247,AG247),AH247))</f>
        <v/>
      </c>
      <c r="AJ247" s="5" t="n"/>
    </row>
    <row r="248">
      <c r="A248" s="5" t="n"/>
      <c r="B248" s="5" t="n"/>
      <c r="C248" s="5" t="n"/>
      <c r="D248" s="5">
        <f>IF(AND(B248&lt;&gt;"",C248&lt;&gt;""),C248-B248+1,"")</f>
        <v/>
      </c>
      <c r="E248" s="5">
        <f>IF(B248&lt;&gt;"",YEAR(B248),"")</f>
        <v/>
      </c>
      <c r="F248" s="6" t="n"/>
      <c r="G248" s="6" t="n"/>
      <c r="H248" s="6" t="n"/>
      <c r="I248" s="5">
        <f>IF(H248="","",IFERROR(INDEX(Szabályok!$B$13:$B$200,MATCH(H248,Szabályok!$A$13:$A$200,0)),""))</f>
        <v/>
      </c>
      <c r="J248" s="5">
        <f>IF(H248="","",IFERROR(INDEX(Szabályok!$C$13:$C$200,MATCH(H248,Szabályok!$A$13:$A$200,0)),""))</f>
        <v/>
      </c>
      <c r="K248" s="5">
        <f>IF(H248="","",IFERROR(INDEX(Szabályok!$D$13:$D$200,MATCH(H248,Szabályok!$A$13:$A$200,0)),""))</f>
        <v/>
      </c>
      <c r="L248" s="5">
        <f>IF(H248="","",IFERROR(INDEX(Szabályok!$E$13:$E$200,MATCH(H248,Szabályok!$A$13:$A$200,0)),""))</f>
        <v/>
      </c>
      <c r="M248" s="5">
        <f>IF(H248="","",IFERROR(INDEX(Szabályok!$F$13:$F$200,MATCH(H248,Szabályok!$A$13:$A$200,0)),""))</f>
        <v/>
      </c>
      <c r="N248" s="5">
        <f>IF(H248="","",IFERROR(INDEX(Szabályok!$G$13:$G$200,MATCH(H248,Szabályok!$A$13:$A$200,0)),""))</f>
        <v/>
      </c>
      <c r="O248" s="5">
        <f>IF(H248="","",IFERROR(INDEX(Szabályok!$H$13:$H$200,MATCH(H248,Szabályok!$A$13:$A$200,0)),""))</f>
        <v/>
      </c>
      <c r="P248" s="5" t="n"/>
      <c r="Q248" s="6" t="n"/>
      <c r="R248" s="6" t="n"/>
      <c r="S248" s="6">
        <f>IF(COUNT(Q248:R248)=0,"",SUM(Q248:R248))</f>
        <v/>
      </c>
      <c r="T248" s="6" t="n"/>
      <c r="U248" s="5">
        <f>IF(T248="","",IF(L248&lt;&gt;"IGEN","IGEN",IF(S248&gt;=T248,"IGEN","NEM")))</f>
        <v/>
      </c>
      <c r="V248" s="5" t="n"/>
      <c r="W248" s="5" t="n"/>
      <c r="X248" s="5" t="n"/>
      <c r="Y248" s="5" t="n"/>
      <c r="Z248" s="5">
        <f>IF(X248="","",IF(COUNTIFS($X$5:$X$304,X248,$I$5:$I$304,"&lt;"&amp;I248)=0,I248,""))</f>
        <v/>
      </c>
      <c r="AA248" s="5">
        <f>IF(X248="","",IF(COUNTIFS($X$5:$X$304,X248,$I$5:$I$304,"&lt;"&amp;I248)&gt;0,"NEM",IF(COUNTIFS($X$5:$X$304,X248,$I$5:$I$304,I248)=1,"IGEN",IF(Y248=1,"IGEN","NEM"))))</f>
        <v/>
      </c>
      <c r="AB248" s="5">
        <f>IF(OR(I248="",J248=""),"",IF(OR(I248=0,V248="IGEN",W248="IGEN"),"X",IF(AND(K248&lt;&gt;"IGEN",L248="IGEN",U248="NEM"),"X",IF(AA248="IGEN",J248,"X"))))</f>
        <v/>
      </c>
      <c r="AC248" s="5">
        <f>IF(AB248="X",0,IF(D248="","",D248))</f>
        <v/>
      </c>
      <c r="AD248" s="5">
        <f>IF(AB248="X",IF(D248="","",D248),0)</f>
        <v/>
      </c>
      <c r="AE248" s="6" t="n"/>
      <c r="AF248" s="6">
        <f>IF(E248="","",SUMIFS($AI$5:AI248,$E$5:E248,E248)-AI248)</f>
        <v/>
      </c>
      <c r="AG248" s="6">
        <f>IF(AE248="","",MAX(0,AE248-AF248))</f>
        <v/>
      </c>
      <c r="AH248" s="6">
        <f>IF(S248="","",IF(OR(I248=0,V248="IGEN",W248="IGEN"),0,IF(AND(K248&lt;&gt;"IGEN",L248="IGEN",U248="NEM"),0,S248)))</f>
        <v/>
      </c>
      <c r="AI248" s="6">
        <f>IF(AH248="","",IF(M248="IGEN",MIN(AH248,AG248),AH248))</f>
        <v/>
      </c>
      <c r="AJ248" s="5" t="n"/>
    </row>
    <row r="249">
      <c r="A249" s="5" t="n"/>
      <c r="B249" s="5" t="n"/>
      <c r="C249" s="5" t="n"/>
      <c r="D249" s="5">
        <f>IF(AND(B249&lt;&gt;"",C249&lt;&gt;""),C249-B249+1,"")</f>
        <v/>
      </c>
      <c r="E249" s="5">
        <f>IF(B249&lt;&gt;"",YEAR(B249),"")</f>
        <v/>
      </c>
      <c r="F249" s="6" t="n"/>
      <c r="G249" s="6" t="n"/>
      <c r="H249" s="6" t="n"/>
      <c r="I249" s="5">
        <f>IF(H249="","",IFERROR(INDEX(Szabályok!$B$13:$B$200,MATCH(H249,Szabályok!$A$13:$A$200,0)),""))</f>
        <v/>
      </c>
      <c r="J249" s="5">
        <f>IF(H249="","",IFERROR(INDEX(Szabályok!$C$13:$C$200,MATCH(H249,Szabályok!$A$13:$A$200,0)),""))</f>
        <v/>
      </c>
      <c r="K249" s="5">
        <f>IF(H249="","",IFERROR(INDEX(Szabályok!$D$13:$D$200,MATCH(H249,Szabályok!$A$13:$A$200,0)),""))</f>
        <v/>
      </c>
      <c r="L249" s="5">
        <f>IF(H249="","",IFERROR(INDEX(Szabályok!$E$13:$E$200,MATCH(H249,Szabályok!$A$13:$A$200,0)),""))</f>
        <v/>
      </c>
      <c r="M249" s="5">
        <f>IF(H249="","",IFERROR(INDEX(Szabályok!$F$13:$F$200,MATCH(H249,Szabályok!$A$13:$A$200,0)),""))</f>
        <v/>
      </c>
      <c r="N249" s="5">
        <f>IF(H249="","",IFERROR(INDEX(Szabályok!$G$13:$G$200,MATCH(H249,Szabályok!$A$13:$A$200,0)),""))</f>
        <v/>
      </c>
      <c r="O249" s="5">
        <f>IF(H249="","",IFERROR(INDEX(Szabályok!$H$13:$H$200,MATCH(H249,Szabályok!$A$13:$A$200,0)),""))</f>
        <v/>
      </c>
      <c r="P249" s="5" t="n"/>
      <c r="Q249" s="6" t="n"/>
      <c r="R249" s="6" t="n"/>
      <c r="S249" s="6">
        <f>IF(COUNT(Q249:R249)=0,"",SUM(Q249:R249))</f>
        <v/>
      </c>
      <c r="T249" s="6" t="n"/>
      <c r="U249" s="5">
        <f>IF(T249="","",IF(L249&lt;&gt;"IGEN","IGEN",IF(S249&gt;=T249,"IGEN","NEM")))</f>
        <v/>
      </c>
      <c r="V249" s="5" t="n"/>
      <c r="W249" s="5" t="n"/>
      <c r="X249" s="5" t="n"/>
      <c r="Y249" s="5" t="n"/>
      <c r="Z249" s="5">
        <f>IF(X249="","",IF(COUNTIFS($X$5:$X$304,X249,$I$5:$I$304,"&lt;"&amp;I249)=0,I249,""))</f>
        <v/>
      </c>
      <c r="AA249" s="5">
        <f>IF(X249="","",IF(COUNTIFS($X$5:$X$304,X249,$I$5:$I$304,"&lt;"&amp;I249)&gt;0,"NEM",IF(COUNTIFS($X$5:$X$304,X249,$I$5:$I$304,I249)=1,"IGEN",IF(Y249=1,"IGEN","NEM"))))</f>
        <v/>
      </c>
      <c r="AB249" s="5">
        <f>IF(OR(I249="",J249=""),"",IF(OR(I249=0,V249="IGEN",W249="IGEN"),"X",IF(AND(K249&lt;&gt;"IGEN",L249="IGEN",U249="NEM"),"X",IF(AA249="IGEN",J249,"X"))))</f>
        <v/>
      </c>
      <c r="AC249" s="5">
        <f>IF(AB249="X",0,IF(D249="","",D249))</f>
        <v/>
      </c>
      <c r="AD249" s="5">
        <f>IF(AB249="X",IF(D249="","",D249),0)</f>
        <v/>
      </c>
      <c r="AE249" s="6" t="n"/>
      <c r="AF249" s="6">
        <f>IF(E249="","",SUMIFS($AI$5:AI249,$E$5:E249,E249)-AI249)</f>
        <v/>
      </c>
      <c r="AG249" s="6">
        <f>IF(AE249="","",MAX(0,AE249-AF249))</f>
        <v/>
      </c>
      <c r="AH249" s="6">
        <f>IF(S249="","",IF(OR(I249=0,V249="IGEN",W249="IGEN"),0,IF(AND(K249&lt;&gt;"IGEN",L249="IGEN",U249="NEM"),0,S249)))</f>
        <v/>
      </c>
      <c r="AI249" s="6">
        <f>IF(AH249="","",IF(M249="IGEN",MIN(AH249,AG249),AH249))</f>
        <v/>
      </c>
      <c r="AJ249" s="5" t="n"/>
    </row>
    <row r="250">
      <c r="A250" s="5" t="n"/>
      <c r="B250" s="5" t="n"/>
      <c r="C250" s="5" t="n"/>
      <c r="D250" s="5">
        <f>IF(AND(B250&lt;&gt;"",C250&lt;&gt;""),C250-B250+1,"")</f>
        <v/>
      </c>
      <c r="E250" s="5">
        <f>IF(B250&lt;&gt;"",YEAR(B250),"")</f>
        <v/>
      </c>
      <c r="F250" s="6" t="n"/>
      <c r="G250" s="6" t="n"/>
      <c r="H250" s="6" t="n"/>
      <c r="I250" s="5">
        <f>IF(H250="","",IFERROR(INDEX(Szabályok!$B$13:$B$200,MATCH(H250,Szabályok!$A$13:$A$200,0)),""))</f>
        <v/>
      </c>
      <c r="J250" s="5">
        <f>IF(H250="","",IFERROR(INDEX(Szabályok!$C$13:$C$200,MATCH(H250,Szabályok!$A$13:$A$200,0)),""))</f>
        <v/>
      </c>
      <c r="K250" s="5">
        <f>IF(H250="","",IFERROR(INDEX(Szabályok!$D$13:$D$200,MATCH(H250,Szabályok!$A$13:$A$200,0)),""))</f>
        <v/>
      </c>
      <c r="L250" s="5">
        <f>IF(H250="","",IFERROR(INDEX(Szabályok!$E$13:$E$200,MATCH(H250,Szabályok!$A$13:$A$200,0)),""))</f>
        <v/>
      </c>
      <c r="M250" s="5">
        <f>IF(H250="","",IFERROR(INDEX(Szabályok!$F$13:$F$200,MATCH(H250,Szabályok!$A$13:$A$200,0)),""))</f>
        <v/>
      </c>
      <c r="N250" s="5">
        <f>IF(H250="","",IFERROR(INDEX(Szabályok!$G$13:$G$200,MATCH(H250,Szabályok!$A$13:$A$200,0)),""))</f>
        <v/>
      </c>
      <c r="O250" s="5">
        <f>IF(H250="","",IFERROR(INDEX(Szabályok!$H$13:$H$200,MATCH(H250,Szabályok!$A$13:$A$200,0)),""))</f>
        <v/>
      </c>
      <c r="P250" s="5" t="n"/>
      <c r="Q250" s="6" t="n"/>
      <c r="R250" s="6" t="n"/>
      <c r="S250" s="6">
        <f>IF(COUNT(Q250:R250)=0,"",SUM(Q250:R250))</f>
        <v/>
      </c>
      <c r="T250" s="6" t="n"/>
      <c r="U250" s="5">
        <f>IF(T250="","",IF(L250&lt;&gt;"IGEN","IGEN",IF(S250&gt;=T250,"IGEN","NEM")))</f>
        <v/>
      </c>
      <c r="V250" s="5" t="n"/>
      <c r="W250" s="5" t="n"/>
      <c r="X250" s="5" t="n"/>
      <c r="Y250" s="5" t="n"/>
      <c r="Z250" s="5">
        <f>IF(X250="","",IF(COUNTIFS($X$5:$X$304,X250,$I$5:$I$304,"&lt;"&amp;I250)=0,I250,""))</f>
        <v/>
      </c>
      <c r="AA250" s="5">
        <f>IF(X250="","",IF(COUNTIFS($X$5:$X$304,X250,$I$5:$I$304,"&lt;"&amp;I250)&gt;0,"NEM",IF(COUNTIFS($X$5:$X$304,X250,$I$5:$I$304,I250)=1,"IGEN",IF(Y250=1,"IGEN","NEM"))))</f>
        <v/>
      </c>
      <c r="AB250" s="5">
        <f>IF(OR(I250="",J250=""),"",IF(OR(I250=0,V250="IGEN",W250="IGEN"),"X",IF(AND(K250&lt;&gt;"IGEN",L250="IGEN",U250="NEM"),"X",IF(AA250="IGEN",J250,"X"))))</f>
        <v/>
      </c>
      <c r="AC250" s="5">
        <f>IF(AB250="X",0,IF(D250="","",D250))</f>
        <v/>
      </c>
      <c r="AD250" s="5">
        <f>IF(AB250="X",IF(D250="","",D250),0)</f>
        <v/>
      </c>
      <c r="AE250" s="6" t="n"/>
      <c r="AF250" s="6">
        <f>IF(E250="","",SUMIFS($AI$5:AI250,$E$5:E250,E250)-AI250)</f>
        <v/>
      </c>
      <c r="AG250" s="6">
        <f>IF(AE250="","",MAX(0,AE250-AF250))</f>
        <v/>
      </c>
      <c r="AH250" s="6">
        <f>IF(S250="","",IF(OR(I250=0,V250="IGEN",W250="IGEN"),0,IF(AND(K250&lt;&gt;"IGEN",L250="IGEN",U250="NEM"),0,S250)))</f>
        <v/>
      </c>
      <c r="AI250" s="6">
        <f>IF(AH250="","",IF(M250="IGEN",MIN(AH250,AG250),AH250))</f>
        <v/>
      </c>
      <c r="AJ250" s="5" t="n"/>
    </row>
    <row r="251">
      <c r="A251" s="5" t="n"/>
      <c r="B251" s="5" t="n"/>
      <c r="C251" s="5" t="n"/>
      <c r="D251" s="5">
        <f>IF(AND(B251&lt;&gt;"",C251&lt;&gt;""),C251-B251+1,"")</f>
        <v/>
      </c>
      <c r="E251" s="5">
        <f>IF(B251&lt;&gt;"",YEAR(B251),"")</f>
        <v/>
      </c>
      <c r="F251" s="6" t="n"/>
      <c r="G251" s="6" t="n"/>
      <c r="H251" s="6" t="n"/>
      <c r="I251" s="5">
        <f>IF(H251="","",IFERROR(INDEX(Szabályok!$B$13:$B$200,MATCH(H251,Szabályok!$A$13:$A$200,0)),""))</f>
        <v/>
      </c>
      <c r="J251" s="5">
        <f>IF(H251="","",IFERROR(INDEX(Szabályok!$C$13:$C$200,MATCH(H251,Szabályok!$A$13:$A$200,0)),""))</f>
        <v/>
      </c>
      <c r="K251" s="5">
        <f>IF(H251="","",IFERROR(INDEX(Szabályok!$D$13:$D$200,MATCH(H251,Szabályok!$A$13:$A$200,0)),""))</f>
        <v/>
      </c>
      <c r="L251" s="5">
        <f>IF(H251="","",IFERROR(INDEX(Szabályok!$E$13:$E$200,MATCH(H251,Szabályok!$A$13:$A$200,0)),""))</f>
        <v/>
      </c>
      <c r="M251" s="5">
        <f>IF(H251="","",IFERROR(INDEX(Szabályok!$F$13:$F$200,MATCH(H251,Szabályok!$A$13:$A$200,0)),""))</f>
        <v/>
      </c>
      <c r="N251" s="5">
        <f>IF(H251="","",IFERROR(INDEX(Szabályok!$G$13:$G$200,MATCH(H251,Szabályok!$A$13:$A$200,0)),""))</f>
        <v/>
      </c>
      <c r="O251" s="5">
        <f>IF(H251="","",IFERROR(INDEX(Szabályok!$H$13:$H$200,MATCH(H251,Szabályok!$A$13:$A$200,0)),""))</f>
        <v/>
      </c>
      <c r="P251" s="5" t="n"/>
      <c r="Q251" s="6" t="n"/>
      <c r="R251" s="6" t="n"/>
      <c r="S251" s="6">
        <f>IF(COUNT(Q251:R251)=0,"",SUM(Q251:R251))</f>
        <v/>
      </c>
      <c r="T251" s="6" t="n"/>
      <c r="U251" s="5">
        <f>IF(T251="","",IF(L251&lt;&gt;"IGEN","IGEN",IF(S251&gt;=T251,"IGEN","NEM")))</f>
        <v/>
      </c>
      <c r="V251" s="5" t="n"/>
      <c r="W251" s="5" t="n"/>
      <c r="X251" s="5" t="n"/>
      <c r="Y251" s="5" t="n"/>
      <c r="Z251" s="5">
        <f>IF(X251="","",IF(COUNTIFS($X$5:$X$304,X251,$I$5:$I$304,"&lt;"&amp;I251)=0,I251,""))</f>
        <v/>
      </c>
      <c r="AA251" s="5">
        <f>IF(X251="","",IF(COUNTIFS($X$5:$X$304,X251,$I$5:$I$304,"&lt;"&amp;I251)&gt;0,"NEM",IF(COUNTIFS($X$5:$X$304,X251,$I$5:$I$304,I251)=1,"IGEN",IF(Y251=1,"IGEN","NEM"))))</f>
        <v/>
      </c>
      <c r="AB251" s="5">
        <f>IF(OR(I251="",J251=""),"",IF(OR(I251=0,V251="IGEN",W251="IGEN"),"X",IF(AND(K251&lt;&gt;"IGEN",L251="IGEN",U251="NEM"),"X",IF(AA251="IGEN",J251,"X"))))</f>
        <v/>
      </c>
      <c r="AC251" s="5">
        <f>IF(AB251="X",0,IF(D251="","",D251))</f>
        <v/>
      </c>
      <c r="AD251" s="5">
        <f>IF(AB251="X",IF(D251="","",D251),0)</f>
        <v/>
      </c>
      <c r="AE251" s="6" t="n"/>
      <c r="AF251" s="6">
        <f>IF(E251="","",SUMIFS($AI$5:AI251,$E$5:E251,E251)-AI251)</f>
        <v/>
      </c>
      <c r="AG251" s="6">
        <f>IF(AE251="","",MAX(0,AE251-AF251))</f>
        <v/>
      </c>
      <c r="AH251" s="6">
        <f>IF(S251="","",IF(OR(I251=0,V251="IGEN",W251="IGEN"),0,IF(AND(K251&lt;&gt;"IGEN",L251="IGEN",U251="NEM"),0,S251)))</f>
        <v/>
      </c>
      <c r="AI251" s="6">
        <f>IF(AH251="","",IF(M251="IGEN",MIN(AH251,AG251),AH251))</f>
        <v/>
      </c>
      <c r="AJ251" s="5" t="n"/>
    </row>
    <row r="252">
      <c r="A252" s="5" t="n"/>
      <c r="B252" s="5" t="n"/>
      <c r="C252" s="5" t="n"/>
      <c r="D252" s="5">
        <f>IF(AND(B252&lt;&gt;"",C252&lt;&gt;""),C252-B252+1,"")</f>
        <v/>
      </c>
      <c r="E252" s="5">
        <f>IF(B252&lt;&gt;"",YEAR(B252),"")</f>
        <v/>
      </c>
      <c r="F252" s="6" t="n"/>
      <c r="G252" s="6" t="n"/>
      <c r="H252" s="6" t="n"/>
      <c r="I252" s="5">
        <f>IF(H252="","",IFERROR(INDEX(Szabályok!$B$13:$B$200,MATCH(H252,Szabályok!$A$13:$A$200,0)),""))</f>
        <v/>
      </c>
      <c r="J252" s="5">
        <f>IF(H252="","",IFERROR(INDEX(Szabályok!$C$13:$C$200,MATCH(H252,Szabályok!$A$13:$A$200,0)),""))</f>
        <v/>
      </c>
      <c r="K252" s="5">
        <f>IF(H252="","",IFERROR(INDEX(Szabályok!$D$13:$D$200,MATCH(H252,Szabályok!$A$13:$A$200,0)),""))</f>
        <v/>
      </c>
      <c r="L252" s="5">
        <f>IF(H252="","",IFERROR(INDEX(Szabályok!$E$13:$E$200,MATCH(H252,Szabályok!$A$13:$A$200,0)),""))</f>
        <v/>
      </c>
      <c r="M252" s="5">
        <f>IF(H252="","",IFERROR(INDEX(Szabályok!$F$13:$F$200,MATCH(H252,Szabályok!$A$13:$A$200,0)),""))</f>
        <v/>
      </c>
      <c r="N252" s="5">
        <f>IF(H252="","",IFERROR(INDEX(Szabályok!$G$13:$G$200,MATCH(H252,Szabályok!$A$13:$A$200,0)),""))</f>
        <v/>
      </c>
      <c r="O252" s="5">
        <f>IF(H252="","",IFERROR(INDEX(Szabályok!$H$13:$H$200,MATCH(H252,Szabályok!$A$13:$A$200,0)),""))</f>
        <v/>
      </c>
      <c r="P252" s="5" t="n"/>
      <c r="Q252" s="6" t="n"/>
      <c r="R252" s="6" t="n"/>
      <c r="S252" s="6">
        <f>IF(COUNT(Q252:R252)=0,"",SUM(Q252:R252))</f>
        <v/>
      </c>
      <c r="T252" s="6" t="n"/>
      <c r="U252" s="5">
        <f>IF(T252="","",IF(L252&lt;&gt;"IGEN","IGEN",IF(S252&gt;=T252,"IGEN","NEM")))</f>
        <v/>
      </c>
      <c r="V252" s="5" t="n"/>
      <c r="W252" s="5" t="n"/>
      <c r="X252" s="5" t="n"/>
      <c r="Y252" s="5" t="n"/>
      <c r="Z252" s="5">
        <f>IF(X252="","",IF(COUNTIFS($X$5:$X$304,X252,$I$5:$I$304,"&lt;"&amp;I252)=0,I252,""))</f>
        <v/>
      </c>
      <c r="AA252" s="5">
        <f>IF(X252="","",IF(COUNTIFS($X$5:$X$304,X252,$I$5:$I$304,"&lt;"&amp;I252)&gt;0,"NEM",IF(COUNTIFS($X$5:$X$304,X252,$I$5:$I$304,I252)=1,"IGEN",IF(Y252=1,"IGEN","NEM"))))</f>
        <v/>
      </c>
      <c r="AB252" s="5">
        <f>IF(OR(I252="",J252=""),"",IF(OR(I252=0,V252="IGEN",W252="IGEN"),"X",IF(AND(K252&lt;&gt;"IGEN",L252="IGEN",U252="NEM"),"X",IF(AA252="IGEN",J252,"X"))))</f>
        <v/>
      </c>
      <c r="AC252" s="5">
        <f>IF(AB252="X",0,IF(D252="","",D252))</f>
        <v/>
      </c>
      <c r="AD252" s="5">
        <f>IF(AB252="X",IF(D252="","",D252),0)</f>
        <v/>
      </c>
      <c r="AE252" s="6" t="n"/>
      <c r="AF252" s="6">
        <f>IF(E252="","",SUMIFS($AI$5:AI252,$E$5:E252,E252)-AI252)</f>
        <v/>
      </c>
      <c r="AG252" s="6">
        <f>IF(AE252="","",MAX(0,AE252-AF252))</f>
        <v/>
      </c>
      <c r="AH252" s="6">
        <f>IF(S252="","",IF(OR(I252=0,V252="IGEN",W252="IGEN"),0,IF(AND(K252&lt;&gt;"IGEN",L252="IGEN",U252="NEM"),0,S252)))</f>
        <v/>
      </c>
      <c r="AI252" s="6">
        <f>IF(AH252="","",IF(M252="IGEN",MIN(AH252,AG252),AH252))</f>
        <v/>
      </c>
      <c r="AJ252" s="5" t="n"/>
    </row>
    <row r="253">
      <c r="A253" s="5" t="n"/>
      <c r="B253" s="5" t="n"/>
      <c r="C253" s="5" t="n"/>
      <c r="D253" s="5">
        <f>IF(AND(B253&lt;&gt;"",C253&lt;&gt;""),C253-B253+1,"")</f>
        <v/>
      </c>
      <c r="E253" s="5">
        <f>IF(B253&lt;&gt;"",YEAR(B253),"")</f>
        <v/>
      </c>
      <c r="F253" s="6" t="n"/>
      <c r="G253" s="6" t="n"/>
      <c r="H253" s="6" t="n"/>
      <c r="I253" s="5">
        <f>IF(H253="","",IFERROR(INDEX(Szabályok!$B$13:$B$200,MATCH(H253,Szabályok!$A$13:$A$200,0)),""))</f>
        <v/>
      </c>
      <c r="J253" s="5">
        <f>IF(H253="","",IFERROR(INDEX(Szabályok!$C$13:$C$200,MATCH(H253,Szabályok!$A$13:$A$200,0)),""))</f>
        <v/>
      </c>
      <c r="K253" s="5">
        <f>IF(H253="","",IFERROR(INDEX(Szabályok!$D$13:$D$200,MATCH(H253,Szabályok!$A$13:$A$200,0)),""))</f>
        <v/>
      </c>
      <c r="L253" s="5">
        <f>IF(H253="","",IFERROR(INDEX(Szabályok!$E$13:$E$200,MATCH(H253,Szabályok!$A$13:$A$200,0)),""))</f>
        <v/>
      </c>
      <c r="M253" s="5">
        <f>IF(H253="","",IFERROR(INDEX(Szabályok!$F$13:$F$200,MATCH(H253,Szabályok!$A$13:$A$200,0)),""))</f>
        <v/>
      </c>
      <c r="N253" s="5">
        <f>IF(H253="","",IFERROR(INDEX(Szabályok!$G$13:$G$200,MATCH(H253,Szabályok!$A$13:$A$200,0)),""))</f>
        <v/>
      </c>
      <c r="O253" s="5">
        <f>IF(H253="","",IFERROR(INDEX(Szabályok!$H$13:$H$200,MATCH(H253,Szabályok!$A$13:$A$200,0)),""))</f>
        <v/>
      </c>
      <c r="P253" s="5" t="n"/>
      <c r="Q253" s="6" t="n"/>
      <c r="R253" s="6" t="n"/>
      <c r="S253" s="6">
        <f>IF(COUNT(Q253:R253)=0,"",SUM(Q253:R253))</f>
        <v/>
      </c>
      <c r="T253" s="6" t="n"/>
      <c r="U253" s="5">
        <f>IF(T253="","",IF(L253&lt;&gt;"IGEN","IGEN",IF(S253&gt;=T253,"IGEN","NEM")))</f>
        <v/>
      </c>
      <c r="V253" s="5" t="n"/>
      <c r="W253" s="5" t="n"/>
      <c r="X253" s="5" t="n"/>
      <c r="Y253" s="5" t="n"/>
      <c r="Z253" s="5">
        <f>IF(X253="","",IF(COUNTIFS($X$5:$X$304,X253,$I$5:$I$304,"&lt;"&amp;I253)=0,I253,""))</f>
        <v/>
      </c>
      <c r="AA253" s="5">
        <f>IF(X253="","",IF(COUNTIFS($X$5:$X$304,X253,$I$5:$I$304,"&lt;"&amp;I253)&gt;0,"NEM",IF(COUNTIFS($X$5:$X$304,X253,$I$5:$I$304,I253)=1,"IGEN",IF(Y253=1,"IGEN","NEM"))))</f>
        <v/>
      </c>
      <c r="AB253" s="5">
        <f>IF(OR(I253="",J253=""),"",IF(OR(I253=0,V253="IGEN",W253="IGEN"),"X",IF(AND(K253&lt;&gt;"IGEN",L253="IGEN",U253="NEM"),"X",IF(AA253="IGEN",J253,"X"))))</f>
        <v/>
      </c>
      <c r="AC253" s="5">
        <f>IF(AB253="X",0,IF(D253="","",D253))</f>
        <v/>
      </c>
      <c r="AD253" s="5">
        <f>IF(AB253="X",IF(D253="","",D253),0)</f>
        <v/>
      </c>
      <c r="AE253" s="6" t="n"/>
      <c r="AF253" s="6">
        <f>IF(E253="","",SUMIFS($AI$5:AI253,$E$5:E253,E253)-AI253)</f>
        <v/>
      </c>
      <c r="AG253" s="6">
        <f>IF(AE253="","",MAX(0,AE253-AF253))</f>
        <v/>
      </c>
      <c r="AH253" s="6">
        <f>IF(S253="","",IF(OR(I253=0,V253="IGEN",W253="IGEN"),0,IF(AND(K253&lt;&gt;"IGEN",L253="IGEN",U253="NEM"),0,S253)))</f>
        <v/>
      </c>
      <c r="AI253" s="6">
        <f>IF(AH253="","",IF(M253="IGEN",MIN(AH253,AG253),AH253))</f>
        <v/>
      </c>
      <c r="AJ253" s="5" t="n"/>
    </row>
    <row r="254">
      <c r="A254" s="5" t="n"/>
      <c r="B254" s="5" t="n"/>
      <c r="C254" s="5" t="n"/>
      <c r="D254" s="5">
        <f>IF(AND(B254&lt;&gt;"",C254&lt;&gt;""),C254-B254+1,"")</f>
        <v/>
      </c>
      <c r="E254" s="5">
        <f>IF(B254&lt;&gt;"",YEAR(B254),"")</f>
        <v/>
      </c>
      <c r="F254" s="6" t="n"/>
      <c r="G254" s="6" t="n"/>
      <c r="H254" s="6" t="n"/>
      <c r="I254" s="5">
        <f>IF(H254="","",IFERROR(INDEX(Szabályok!$B$13:$B$200,MATCH(H254,Szabályok!$A$13:$A$200,0)),""))</f>
        <v/>
      </c>
      <c r="J254" s="5">
        <f>IF(H254="","",IFERROR(INDEX(Szabályok!$C$13:$C$200,MATCH(H254,Szabályok!$A$13:$A$200,0)),""))</f>
        <v/>
      </c>
      <c r="K254" s="5">
        <f>IF(H254="","",IFERROR(INDEX(Szabályok!$D$13:$D$200,MATCH(H254,Szabályok!$A$13:$A$200,0)),""))</f>
        <v/>
      </c>
      <c r="L254" s="5">
        <f>IF(H254="","",IFERROR(INDEX(Szabályok!$E$13:$E$200,MATCH(H254,Szabályok!$A$13:$A$200,0)),""))</f>
        <v/>
      </c>
      <c r="M254" s="5">
        <f>IF(H254="","",IFERROR(INDEX(Szabályok!$F$13:$F$200,MATCH(H254,Szabályok!$A$13:$A$200,0)),""))</f>
        <v/>
      </c>
      <c r="N254" s="5">
        <f>IF(H254="","",IFERROR(INDEX(Szabályok!$G$13:$G$200,MATCH(H254,Szabályok!$A$13:$A$200,0)),""))</f>
        <v/>
      </c>
      <c r="O254" s="5">
        <f>IF(H254="","",IFERROR(INDEX(Szabályok!$H$13:$H$200,MATCH(H254,Szabályok!$A$13:$A$200,0)),""))</f>
        <v/>
      </c>
      <c r="P254" s="5" t="n"/>
      <c r="Q254" s="6" t="n"/>
      <c r="R254" s="6" t="n"/>
      <c r="S254" s="6">
        <f>IF(COUNT(Q254:R254)=0,"",SUM(Q254:R254))</f>
        <v/>
      </c>
      <c r="T254" s="6" t="n"/>
      <c r="U254" s="5">
        <f>IF(T254="","",IF(L254&lt;&gt;"IGEN","IGEN",IF(S254&gt;=T254,"IGEN","NEM")))</f>
        <v/>
      </c>
      <c r="V254" s="5" t="n"/>
      <c r="W254" s="5" t="n"/>
      <c r="X254" s="5" t="n"/>
      <c r="Y254" s="5" t="n"/>
      <c r="Z254" s="5">
        <f>IF(X254="","",IF(COUNTIFS($X$5:$X$304,X254,$I$5:$I$304,"&lt;"&amp;I254)=0,I254,""))</f>
        <v/>
      </c>
      <c r="AA254" s="5">
        <f>IF(X254="","",IF(COUNTIFS($X$5:$X$304,X254,$I$5:$I$304,"&lt;"&amp;I254)&gt;0,"NEM",IF(COUNTIFS($X$5:$X$304,X254,$I$5:$I$304,I254)=1,"IGEN",IF(Y254=1,"IGEN","NEM"))))</f>
        <v/>
      </c>
      <c r="AB254" s="5">
        <f>IF(OR(I254="",J254=""),"",IF(OR(I254=0,V254="IGEN",W254="IGEN"),"X",IF(AND(K254&lt;&gt;"IGEN",L254="IGEN",U254="NEM"),"X",IF(AA254="IGEN",J254,"X"))))</f>
        <v/>
      </c>
      <c r="AC254" s="5">
        <f>IF(AB254="X",0,IF(D254="","",D254))</f>
        <v/>
      </c>
      <c r="AD254" s="5">
        <f>IF(AB254="X",IF(D254="","",D254),0)</f>
        <v/>
      </c>
      <c r="AE254" s="6" t="n"/>
      <c r="AF254" s="6">
        <f>IF(E254="","",SUMIFS($AI$5:AI254,$E$5:E254,E254)-AI254)</f>
        <v/>
      </c>
      <c r="AG254" s="6">
        <f>IF(AE254="","",MAX(0,AE254-AF254))</f>
        <v/>
      </c>
      <c r="AH254" s="6">
        <f>IF(S254="","",IF(OR(I254=0,V254="IGEN",W254="IGEN"),0,IF(AND(K254&lt;&gt;"IGEN",L254="IGEN",U254="NEM"),0,S254)))</f>
        <v/>
      </c>
      <c r="AI254" s="6">
        <f>IF(AH254="","",IF(M254="IGEN",MIN(AH254,AG254),AH254))</f>
        <v/>
      </c>
      <c r="AJ254" s="5" t="n"/>
    </row>
    <row r="255">
      <c r="A255" s="5" t="n"/>
      <c r="B255" s="5" t="n"/>
      <c r="C255" s="5" t="n"/>
      <c r="D255" s="5">
        <f>IF(AND(B255&lt;&gt;"",C255&lt;&gt;""),C255-B255+1,"")</f>
        <v/>
      </c>
      <c r="E255" s="5">
        <f>IF(B255&lt;&gt;"",YEAR(B255),"")</f>
        <v/>
      </c>
      <c r="F255" s="6" t="n"/>
      <c r="G255" s="6" t="n"/>
      <c r="H255" s="6" t="n"/>
      <c r="I255" s="5">
        <f>IF(H255="","",IFERROR(INDEX(Szabályok!$B$13:$B$200,MATCH(H255,Szabályok!$A$13:$A$200,0)),""))</f>
        <v/>
      </c>
      <c r="J255" s="5">
        <f>IF(H255="","",IFERROR(INDEX(Szabályok!$C$13:$C$200,MATCH(H255,Szabályok!$A$13:$A$200,0)),""))</f>
        <v/>
      </c>
      <c r="K255" s="5">
        <f>IF(H255="","",IFERROR(INDEX(Szabályok!$D$13:$D$200,MATCH(H255,Szabályok!$A$13:$A$200,0)),""))</f>
        <v/>
      </c>
      <c r="L255" s="5">
        <f>IF(H255="","",IFERROR(INDEX(Szabályok!$E$13:$E$200,MATCH(H255,Szabályok!$A$13:$A$200,0)),""))</f>
        <v/>
      </c>
      <c r="M255" s="5">
        <f>IF(H255="","",IFERROR(INDEX(Szabályok!$F$13:$F$200,MATCH(H255,Szabályok!$A$13:$A$200,0)),""))</f>
        <v/>
      </c>
      <c r="N255" s="5">
        <f>IF(H255="","",IFERROR(INDEX(Szabályok!$G$13:$G$200,MATCH(H255,Szabályok!$A$13:$A$200,0)),""))</f>
        <v/>
      </c>
      <c r="O255" s="5">
        <f>IF(H255="","",IFERROR(INDEX(Szabályok!$H$13:$H$200,MATCH(H255,Szabályok!$A$13:$A$200,0)),""))</f>
        <v/>
      </c>
      <c r="P255" s="5" t="n"/>
      <c r="Q255" s="6" t="n"/>
      <c r="R255" s="6" t="n"/>
      <c r="S255" s="6">
        <f>IF(COUNT(Q255:R255)=0,"",SUM(Q255:R255))</f>
        <v/>
      </c>
      <c r="T255" s="6" t="n"/>
      <c r="U255" s="5">
        <f>IF(T255="","",IF(L255&lt;&gt;"IGEN","IGEN",IF(S255&gt;=T255,"IGEN","NEM")))</f>
        <v/>
      </c>
      <c r="V255" s="5" t="n"/>
      <c r="W255" s="5" t="n"/>
      <c r="X255" s="5" t="n"/>
      <c r="Y255" s="5" t="n"/>
      <c r="Z255" s="5">
        <f>IF(X255="","",IF(COUNTIFS($X$5:$X$304,X255,$I$5:$I$304,"&lt;"&amp;I255)=0,I255,""))</f>
        <v/>
      </c>
      <c r="AA255" s="5">
        <f>IF(X255="","",IF(COUNTIFS($X$5:$X$304,X255,$I$5:$I$304,"&lt;"&amp;I255)&gt;0,"NEM",IF(COUNTIFS($X$5:$X$304,X255,$I$5:$I$304,I255)=1,"IGEN",IF(Y255=1,"IGEN","NEM"))))</f>
        <v/>
      </c>
      <c r="AB255" s="5">
        <f>IF(OR(I255="",J255=""),"",IF(OR(I255=0,V255="IGEN",W255="IGEN"),"X",IF(AND(K255&lt;&gt;"IGEN",L255="IGEN",U255="NEM"),"X",IF(AA255="IGEN",J255,"X"))))</f>
        <v/>
      </c>
      <c r="AC255" s="5">
        <f>IF(AB255="X",0,IF(D255="","",D255))</f>
        <v/>
      </c>
      <c r="AD255" s="5">
        <f>IF(AB255="X",IF(D255="","",D255),0)</f>
        <v/>
      </c>
      <c r="AE255" s="6" t="n"/>
      <c r="AF255" s="6">
        <f>IF(E255="","",SUMIFS($AI$5:AI255,$E$5:E255,E255)-AI255)</f>
        <v/>
      </c>
      <c r="AG255" s="6">
        <f>IF(AE255="","",MAX(0,AE255-AF255))</f>
        <v/>
      </c>
      <c r="AH255" s="6">
        <f>IF(S255="","",IF(OR(I255=0,V255="IGEN",W255="IGEN"),0,IF(AND(K255&lt;&gt;"IGEN",L255="IGEN",U255="NEM"),0,S255)))</f>
        <v/>
      </c>
      <c r="AI255" s="6">
        <f>IF(AH255="","",IF(M255="IGEN",MIN(AH255,AG255),AH255))</f>
        <v/>
      </c>
      <c r="AJ255" s="5" t="n"/>
    </row>
    <row r="256">
      <c r="A256" s="5" t="n"/>
      <c r="B256" s="5" t="n"/>
      <c r="C256" s="5" t="n"/>
      <c r="D256" s="5">
        <f>IF(AND(B256&lt;&gt;"",C256&lt;&gt;""),C256-B256+1,"")</f>
        <v/>
      </c>
      <c r="E256" s="5">
        <f>IF(B256&lt;&gt;"",YEAR(B256),"")</f>
        <v/>
      </c>
      <c r="F256" s="6" t="n"/>
      <c r="G256" s="6" t="n"/>
      <c r="H256" s="6" t="n"/>
      <c r="I256" s="5">
        <f>IF(H256="","",IFERROR(INDEX(Szabályok!$B$13:$B$200,MATCH(H256,Szabályok!$A$13:$A$200,0)),""))</f>
        <v/>
      </c>
      <c r="J256" s="5">
        <f>IF(H256="","",IFERROR(INDEX(Szabályok!$C$13:$C$200,MATCH(H256,Szabályok!$A$13:$A$200,0)),""))</f>
        <v/>
      </c>
      <c r="K256" s="5">
        <f>IF(H256="","",IFERROR(INDEX(Szabályok!$D$13:$D$200,MATCH(H256,Szabályok!$A$13:$A$200,0)),""))</f>
        <v/>
      </c>
      <c r="L256" s="5">
        <f>IF(H256="","",IFERROR(INDEX(Szabályok!$E$13:$E$200,MATCH(H256,Szabályok!$A$13:$A$200,0)),""))</f>
        <v/>
      </c>
      <c r="M256" s="5">
        <f>IF(H256="","",IFERROR(INDEX(Szabályok!$F$13:$F$200,MATCH(H256,Szabályok!$A$13:$A$200,0)),""))</f>
        <v/>
      </c>
      <c r="N256" s="5">
        <f>IF(H256="","",IFERROR(INDEX(Szabályok!$G$13:$G$200,MATCH(H256,Szabályok!$A$13:$A$200,0)),""))</f>
        <v/>
      </c>
      <c r="O256" s="5">
        <f>IF(H256="","",IFERROR(INDEX(Szabályok!$H$13:$H$200,MATCH(H256,Szabályok!$A$13:$A$200,0)),""))</f>
        <v/>
      </c>
      <c r="P256" s="5" t="n"/>
      <c r="Q256" s="6" t="n"/>
      <c r="R256" s="6" t="n"/>
      <c r="S256" s="6">
        <f>IF(COUNT(Q256:R256)=0,"",SUM(Q256:R256))</f>
        <v/>
      </c>
      <c r="T256" s="6" t="n"/>
      <c r="U256" s="5">
        <f>IF(T256="","",IF(L256&lt;&gt;"IGEN","IGEN",IF(S256&gt;=T256,"IGEN","NEM")))</f>
        <v/>
      </c>
      <c r="V256" s="5" t="n"/>
      <c r="W256" s="5" t="n"/>
      <c r="X256" s="5" t="n"/>
      <c r="Y256" s="5" t="n"/>
      <c r="Z256" s="5">
        <f>IF(X256="","",IF(COUNTIFS($X$5:$X$304,X256,$I$5:$I$304,"&lt;"&amp;I256)=0,I256,""))</f>
        <v/>
      </c>
      <c r="AA256" s="5">
        <f>IF(X256="","",IF(COUNTIFS($X$5:$X$304,X256,$I$5:$I$304,"&lt;"&amp;I256)&gt;0,"NEM",IF(COUNTIFS($X$5:$X$304,X256,$I$5:$I$304,I256)=1,"IGEN",IF(Y256=1,"IGEN","NEM"))))</f>
        <v/>
      </c>
      <c r="AB256" s="5">
        <f>IF(OR(I256="",J256=""),"",IF(OR(I256=0,V256="IGEN",W256="IGEN"),"X",IF(AND(K256&lt;&gt;"IGEN",L256="IGEN",U256="NEM"),"X",IF(AA256="IGEN",J256,"X"))))</f>
        <v/>
      </c>
      <c r="AC256" s="5">
        <f>IF(AB256="X",0,IF(D256="","",D256))</f>
        <v/>
      </c>
      <c r="AD256" s="5">
        <f>IF(AB256="X",IF(D256="","",D256),0)</f>
        <v/>
      </c>
      <c r="AE256" s="6" t="n"/>
      <c r="AF256" s="6">
        <f>IF(E256="","",SUMIFS($AI$5:AI256,$E$5:E256,E256)-AI256)</f>
        <v/>
      </c>
      <c r="AG256" s="6">
        <f>IF(AE256="","",MAX(0,AE256-AF256))</f>
        <v/>
      </c>
      <c r="AH256" s="6">
        <f>IF(S256="","",IF(OR(I256=0,V256="IGEN",W256="IGEN"),0,IF(AND(K256&lt;&gt;"IGEN",L256="IGEN",U256="NEM"),0,S256)))</f>
        <v/>
      </c>
      <c r="AI256" s="6">
        <f>IF(AH256="","",IF(M256="IGEN",MIN(AH256,AG256),AH256))</f>
        <v/>
      </c>
      <c r="AJ256" s="5" t="n"/>
    </row>
    <row r="257">
      <c r="A257" s="5" t="n"/>
      <c r="B257" s="5" t="n"/>
      <c r="C257" s="5" t="n"/>
      <c r="D257" s="5">
        <f>IF(AND(B257&lt;&gt;"",C257&lt;&gt;""),C257-B257+1,"")</f>
        <v/>
      </c>
      <c r="E257" s="5">
        <f>IF(B257&lt;&gt;"",YEAR(B257),"")</f>
        <v/>
      </c>
      <c r="F257" s="6" t="n"/>
      <c r="G257" s="6" t="n"/>
      <c r="H257" s="6" t="n"/>
      <c r="I257" s="5">
        <f>IF(H257="","",IFERROR(INDEX(Szabályok!$B$13:$B$200,MATCH(H257,Szabályok!$A$13:$A$200,0)),""))</f>
        <v/>
      </c>
      <c r="J257" s="5">
        <f>IF(H257="","",IFERROR(INDEX(Szabályok!$C$13:$C$200,MATCH(H257,Szabályok!$A$13:$A$200,0)),""))</f>
        <v/>
      </c>
      <c r="K257" s="5">
        <f>IF(H257="","",IFERROR(INDEX(Szabályok!$D$13:$D$200,MATCH(H257,Szabályok!$A$13:$A$200,0)),""))</f>
        <v/>
      </c>
      <c r="L257" s="5">
        <f>IF(H257="","",IFERROR(INDEX(Szabályok!$E$13:$E$200,MATCH(H257,Szabályok!$A$13:$A$200,0)),""))</f>
        <v/>
      </c>
      <c r="M257" s="5">
        <f>IF(H257="","",IFERROR(INDEX(Szabályok!$F$13:$F$200,MATCH(H257,Szabályok!$A$13:$A$200,0)),""))</f>
        <v/>
      </c>
      <c r="N257" s="5">
        <f>IF(H257="","",IFERROR(INDEX(Szabályok!$G$13:$G$200,MATCH(H257,Szabályok!$A$13:$A$200,0)),""))</f>
        <v/>
      </c>
      <c r="O257" s="5">
        <f>IF(H257="","",IFERROR(INDEX(Szabályok!$H$13:$H$200,MATCH(H257,Szabályok!$A$13:$A$200,0)),""))</f>
        <v/>
      </c>
      <c r="P257" s="5" t="n"/>
      <c r="Q257" s="6" t="n"/>
      <c r="R257" s="6" t="n"/>
      <c r="S257" s="6">
        <f>IF(COUNT(Q257:R257)=0,"",SUM(Q257:R257))</f>
        <v/>
      </c>
      <c r="T257" s="6" t="n"/>
      <c r="U257" s="5">
        <f>IF(T257="","",IF(L257&lt;&gt;"IGEN","IGEN",IF(S257&gt;=T257,"IGEN","NEM")))</f>
        <v/>
      </c>
      <c r="V257" s="5" t="n"/>
      <c r="W257" s="5" t="n"/>
      <c r="X257" s="5" t="n"/>
      <c r="Y257" s="5" t="n"/>
      <c r="Z257" s="5">
        <f>IF(X257="","",IF(COUNTIFS($X$5:$X$304,X257,$I$5:$I$304,"&lt;"&amp;I257)=0,I257,""))</f>
        <v/>
      </c>
      <c r="AA257" s="5">
        <f>IF(X257="","",IF(COUNTIFS($X$5:$X$304,X257,$I$5:$I$304,"&lt;"&amp;I257)&gt;0,"NEM",IF(COUNTIFS($X$5:$X$304,X257,$I$5:$I$304,I257)=1,"IGEN",IF(Y257=1,"IGEN","NEM"))))</f>
        <v/>
      </c>
      <c r="AB257" s="5">
        <f>IF(OR(I257="",J257=""),"",IF(OR(I257=0,V257="IGEN",W257="IGEN"),"X",IF(AND(K257&lt;&gt;"IGEN",L257="IGEN",U257="NEM"),"X",IF(AA257="IGEN",J257,"X"))))</f>
        <v/>
      </c>
      <c r="AC257" s="5">
        <f>IF(AB257="X",0,IF(D257="","",D257))</f>
        <v/>
      </c>
      <c r="AD257" s="5">
        <f>IF(AB257="X",IF(D257="","",D257),0)</f>
        <v/>
      </c>
      <c r="AE257" s="6" t="n"/>
      <c r="AF257" s="6">
        <f>IF(E257="","",SUMIFS($AI$5:AI257,$E$5:E257,E257)-AI257)</f>
        <v/>
      </c>
      <c r="AG257" s="6">
        <f>IF(AE257="","",MAX(0,AE257-AF257))</f>
        <v/>
      </c>
      <c r="AH257" s="6">
        <f>IF(S257="","",IF(OR(I257=0,V257="IGEN",W257="IGEN"),0,IF(AND(K257&lt;&gt;"IGEN",L257="IGEN",U257="NEM"),0,S257)))</f>
        <v/>
      </c>
      <c r="AI257" s="6">
        <f>IF(AH257="","",IF(M257="IGEN",MIN(AH257,AG257),AH257))</f>
        <v/>
      </c>
      <c r="AJ257" s="5" t="n"/>
    </row>
    <row r="258">
      <c r="A258" s="5" t="n"/>
      <c r="B258" s="5" t="n"/>
      <c r="C258" s="5" t="n"/>
      <c r="D258" s="5">
        <f>IF(AND(B258&lt;&gt;"",C258&lt;&gt;""),C258-B258+1,"")</f>
        <v/>
      </c>
      <c r="E258" s="5">
        <f>IF(B258&lt;&gt;"",YEAR(B258),"")</f>
        <v/>
      </c>
      <c r="F258" s="6" t="n"/>
      <c r="G258" s="6" t="n"/>
      <c r="H258" s="6" t="n"/>
      <c r="I258" s="5">
        <f>IF(H258="","",IFERROR(INDEX(Szabályok!$B$13:$B$200,MATCH(H258,Szabályok!$A$13:$A$200,0)),""))</f>
        <v/>
      </c>
      <c r="J258" s="5">
        <f>IF(H258="","",IFERROR(INDEX(Szabályok!$C$13:$C$200,MATCH(H258,Szabályok!$A$13:$A$200,0)),""))</f>
        <v/>
      </c>
      <c r="K258" s="5">
        <f>IF(H258="","",IFERROR(INDEX(Szabályok!$D$13:$D$200,MATCH(H258,Szabályok!$A$13:$A$200,0)),""))</f>
        <v/>
      </c>
      <c r="L258" s="5">
        <f>IF(H258="","",IFERROR(INDEX(Szabályok!$E$13:$E$200,MATCH(H258,Szabályok!$A$13:$A$200,0)),""))</f>
        <v/>
      </c>
      <c r="M258" s="5">
        <f>IF(H258="","",IFERROR(INDEX(Szabályok!$F$13:$F$200,MATCH(H258,Szabályok!$A$13:$A$200,0)),""))</f>
        <v/>
      </c>
      <c r="N258" s="5">
        <f>IF(H258="","",IFERROR(INDEX(Szabályok!$G$13:$G$200,MATCH(H258,Szabályok!$A$13:$A$200,0)),""))</f>
        <v/>
      </c>
      <c r="O258" s="5">
        <f>IF(H258="","",IFERROR(INDEX(Szabályok!$H$13:$H$200,MATCH(H258,Szabályok!$A$13:$A$200,0)),""))</f>
        <v/>
      </c>
      <c r="P258" s="5" t="n"/>
      <c r="Q258" s="6" t="n"/>
      <c r="R258" s="6" t="n"/>
      <c r="S258" s="6">
        <f>IF(COUNT(Q258:R258)=0,"",SUM(Q258:R258))</f>
        <v/>
      </c>
      <c r="T258" s="6" t="n"/>
      <c r="U258" s="5">
        <f>IF(T258="","",IF(L258&lt;&gt;"IGEN","IGEN",IF(S258&gt;=T258,"IGEN","NEM")))</f>
        <v/>
      </c>
      <c r="V258" s="5" t="n"/>
      <c r="W258" s="5" t="n"/>
      <c r="X258" s="5" t="n"/>
      <c r="Y258" s="5" t="n"/>
      <c r="Z258" s="5">
        <f>IF(X258="","",IF(COUNTIFS($X$5:$X$304,X258,$I$5:$I$304,"&lt;"&amp;I258)=0,I258,""))</f>
        <v/>
      </c>
      <c r="AA258" s="5">
        <f>IF(X258="","",IF(COUNTIFS($X$5:$X$304,X258,$I$5:$I$304,"&lt;"&amp;I258)&gt;0,"NEM",IF(COUNTIFS($X$5:$X$304,X258,$I$5:$I$304,I258)=1,"IGEN",IF(Y258=1,"IGEN","NEM"))))</f>
        <v/>
      </c>
      <c r="AB258" s="5">
        <f>IF(OR(I258="",J258=""),"",IF(OR(I258=0,V258="IGEN",W258="IGEN"),"X",IF(AND(K258&lt;&gt;"IGEN",L258="IGEN",U258="NEM"),"X",IF(AA258="IGEN",J258,"X"))))</f>
        <v/>
      </c>
      <c r="AC258" s="5">
        <f>IF(AB258="X",0,IF(D258="","",D258))</f>
        <v/>
      </c>
      <c r="AD258" s="5">
        <f>IF(AB258="X",IF(D258="","",D258),0)</f>
        <v/>
      </c>
      <c r="AE258" s="6" t="n"/>
      <c r="AF258" s="6">
        <f>IF(E258="","",SUMIFS($AI$5:AI258,$E$5:E258,E258)-AI258)</f>
        <v/>
      </c>
      <c r="AG258" s="6">
        <f>IF(AE258="","",MAX(0,AE258-AF258))</f>
        <v/>
      </c>
      <c r="AH258" s="6">
        <f>IF(S258="","",IF(OR(I258=0,V258="IGEN",W258="IGEN"),0,IF(AND(K258&lt;&gt;"IGEN",L258="IGEN",U258="NEM"),0,S258)))</f>
        <v/>
      </c>
      <c r="AI258" s="6">
        <f>IF(AH258="","",IF(M258="IGEN",MIN(AH258,AG258),AH258))</f>
        <v/>
      </c>
      <c r="AJ258" s="5" t="n"/>
    </row>
    <row r="259">
      <c r="A259" s="5" t="n"/>
      <c r="B259" s="5" t="n"/>
      <c r="C259" s="5" t="n"/>
      <c r="D259" s="5">
        <f>IF(AND(B259&lt;&gt;"",C259&lt;&gt;""),C259-B259+1,"")</f>
        <v/>
      </c>
      <c r="E259" s="5">
        <f>IF(B259&lt;&gt;"",YEAR(B259),"")</f>
        <v/>
      </c>
      <c r="F259" s="6" t="n"/>
      <c r="G259" s="6" t="n"/>
      <c r="H259" s="6" t="n"/>
      <c r="I259" s="5">
        <f>IF(H259="","",IFERROR(INDEX(Szabályok!$B$13:$B$200,MATCH(H259,Szabályok!$A$13:$A$200,0)),""))</f>
        <v/>
      </c>
      <c r="J259" s="5">
        <f>IF(H259="","",IFERROR(INDEX(Szabályok!$C$13:$C$200,MATCH(H259,Szabályok!$A$13:$A$200,0)),""))</f>
        <v/>
      </c>
      <c r="K259" s="5">
        <f>IF(H259="","",IFERROR(INDEX(Szabályok!$D$13:$D$200,MATCH(H259,Szabályok!$A$13:$A$200,0)),""))</f>
        <v/>
      </c>
      <c r="L259" s="5">
        <f>IF(H259="","",IFERROR(INDEX(Szabályok!$E$13:$E$200,MATCH(H259,Szabályok!$A$13:$A$200,0)),""))</f>
        <v/>
      </c>
      <c r="M259" s="5">
        <f>IF(H259="","",IFERROR(INDEX(Szabályok!$F$13:$F$200,MATCH(H259,Szabályok!$A$13:$A$200,0)),""))</f>
        <v/>
      </c>
      <c r="N259" s="5">
        <f>IF(H259="","",IFERROR(INDEX(Szabályok!$G$13:$G$200,MATCH(H259,Szabályok!$A$13:$A$200,0)),""))</f>
        <v/>
      </c>
      <c r="O259" s="5">
        <f>IF(H259="","",IFERROR(INDEX(Szabályok!$H$13:$H$200,MATCH(H259,Szabályok!$A$13:$A$200,0)),""))</f>
        <v/>
      </c>
      <c r="P259" s="5" t="n"/>
      <c r="Q259" s="6" t="n"/>
      <c r="R259" s="6" t="n"/>
      <c r="S259" s="6">
        <f>IF(COUNT(Q259:R259)=0,"",SUM(Q259:R259))</f>
        <v/>
      </c>
      <c r="T259" s="6" t="n"/>
      <c r="U259" s="5">
        <f>IF(T259="","",IF(L259&lt;&gt;"IGEN","IGEN",IF(S259&gt;=T259,"IGEN","NEM")))</f>
        <v/>
      </c>
      <c r="V259" s="5" t="n"/>
      <c r="W259" s="5" t="n"/>
      <c r="X259" s="5" t="n"/>
      <c r="Y259" s="5" t="n"/>
      <c r="Z259" s="5">
        <f>IF(X259="","",IF(COUNTIFS($X$5:$X$304,X259,$I$5:$I$304,"&lt;"&amp;I259)=0,I259,""))</f>
        <v/>
      </c>
      <c r="AA259" s="5">
        <f>IF(X259="","",IF(COUNTIFS($X$5:$X$304,X259,$I$5:$I$304,"&lt;"&amp;I259)&gt;0,"NEM",IF(COUNTIFS($X$5:$X$304,X259,$I$5:$I$304,I259)=1,"IGEN",IF(Y259=1,"IGEN","NEM"))))</f>
        <v/>
      </c>
      <c r="AB259" s="5">
        <f>IF(OR(I259="",J259=""),"",IF(OR(I259=0,V259="IGEN",W259="IGEN"),"X",IF(AND(K259&lt;&gt;"IGEN",L259="IGEN",U259="NEM"),"X",IF(AA259="IGEN",J259,"X"))))</f>
        <v/>
      </c>
      <c r="AC259" s="5">
        <f>IF(AB259="X",0,IF(D259="","",D259))</f>
        <v/>
      </c>
      <c r="AD259" s="5">
        <f>IF(AB259="X",IF(D259="","",D259),0)</f>
        <v/>
      </c>
      <c r="AE259" s="6" t="n"/>
      <c r="AF259" s="6">
        <f>IF(E259="","",SUMIFS($AI$5:AI259,$E$5:E259,E259)-AI259)</f>
        <v/>
      </c>
      <c r="AG259" s="6">
        <f>IF(AE259="","",MAX(0,AE259-AF259))</f>
        <v/>
      </c>
      <c r="AH259" s="6">
        <f>IF(S259="","",IF(OR(I259=0,V259="IGEN",W259="IGEN"),0,IF(AND(K259&lt;&gt;"IGEN",L259="IGEN",U259="NEM"),0,S259)))</f>
        <v/>
      </c>
      <c r="AI259" s="6">
        <f>IF(AH259="","",IF(M259="IGEN",MIN(AH259,AG259),AH259))</f>
        <v/>
      </c>
      <c r="AJ259" s="5" t="n"/>
    </row>
    <row r="260">
      <c r="A260" s="5" t="n"/>
      <c r="B260" s="5" t="n"/>
      <c r="C260" s="5" t="n"/>
      <c r="D260" s="5">
        <f>IF(AND(B260&lt;&gt;"",C260&lt;&gt;""),C260-B260+1,"")</f>
        <v/>
      </c>
      <c r="E260" s="5">
        <f>IF(B260&lt;&gt;"",YEAR(B260),"")</f>
        <v/>
      </c>
      <c r="F260" s="6" t="n"/>
      <c r="G260" s="6" t="n"/>
      <c r="H260" s="6" t="n"/>
      <c r="I260" s="5">
        <f>IF(H260="","",IFERROR(INDEX(Szabályok!$B$13:$B$200,MATCH(H260,Szabályok!$A$13:$A$200,0)),""))</f>
        <v/>
      </c>
      <c r="J260" s="5">
        <f>IF(H260="","",IFERROR(INDEX(Szabályok!$C$13:$C$200,MATCH(H260,Szabályok!$A$13:$A$200,0)),""))</f>
        <v/>
      </c>
      <c r="K260" s="5">
        <f>IF(H260="","",IFERROR(INDEX(Szabályok!$D$13:$D$200,MATCH(H260,Szabályok!$A$13:$A$200,0)),""))</f>
        <v/>
      </c>
      <c r="L260" s="5">
        <f>IF(H260="","",IFERROR(INDEX(Szabályok!$E$13:$E$200,MATCH(H260,Szabályok!$A$13:$A$200,0)),""))</f>
        <v/>
      </c>
      <c r="M260" s="5">
        <f>IF(H260="","",IFERROR(INDEX(Szabályok!$F$13:$F$200,MATCH(H260,Szabályok!$A$13:$A$200,0)),""))</f>
        <v/>
      </c>
      <c r="N260" s="5">
        <f>IF(H260="","",IFERROR(INDEX(Szabályok!$G$13:$G$200,MATCH(H260,Szabályok!$A$13:$A$200,0)),""))</f>
        <v/>
      </c>
      <c r="O260" s="5">
        <f>IF(H260="","",IFERROR(INDEX(Szabályok!$H$13:$H$200,MATCH(H260,Szabályok!$A$13:$A$200,0)),""))</f>
        <v/>
      </c>
      <c r="P260" s="5" t="n"/>
      <c r="Q260" s="6" t="n"/>
      <c r="R260" s="6" t="n"/>
      <c r="S260" s="6">
        <f>IF(COUNT(Q260:R260)=0,"",SUM(Q260:R260))</f>
        <v/>
      </c>
      <c r="T260" s="6" t="n"/>
      <c r="U260" s="5">
        <f>IF(T260="","",IF(L260&lt;&gt;"IGEN","IGEN",IF(S260&gt;=T260,"IGEN","NEM")))</f>
        <v/>
      </c>
      <c r="V260" s="5" t="n"/>
      <c r="W260" s="5" t="n"/>
      <c r="X260" s="5" t="n"/>
      <c r="Y260" s="5" t="n"/>
      <c r="Z260" s="5">
        <f>IF(X260="","",IF(COUNTIFS($X$5:$X$304,X260,$I$5:$I$304,"&lt;"&amp;I260)=0,I260,""))</f>
        <v/>
      </c>
      <c r="AA260" s="5">
        <f>IF(X260="","",IF(COUNTIFS($X$5:$X$304,X260,$I$5:$I$304,"&lt;"&amp;I260)&gt;0,"NEM",IF(COUNTIFS($X$5:$X$304,X260,$I$5:$I$304,I260)=1,"IGEN",IF(Y260=1,"IGEN","NEM"))))</f>
        <v/>
      </c>
      <c r="AB260" s="5">
        <f>IF(OR(I260="",J260=""),"",IF(OR(I260=0,V260="IGEN",W260="IGEN"),"X",IF(AND(K260&lt;&gt;"IGEN",L260="IGEN",U260="NEM"),"X",IF(AA260="IGEN",J260,"X"))))</f>
        <v/>
      </c>
      <c r="AC260" s="5">
        <f>IF(AB260="X",0,IF(D260="","",D260))</f>
        <v/>
      </c>
      <c r="AD260" s="5">
        <f>IF(AB260="X",IF(D260="","",D260),0)</f>
        <v/>
      </c>
      <c r="AE260" s="6" t="n"/>
      <c r="AF260" s="6">
        <f>IF(E260="","",SUMIFS($AI$5:AI260,$E$5:E260,E260)-AI260)</f>
        <v/>
      </c>
      <c r="AG260" s="6">
        <f>IF(AE260="","",MAX(0,AE260-AF260))</f>
        <v/>
      </c>
      <c r="AH260" s="6">
        <f>IF(S260="","",IF(OR(I260=0,V260="IGEN",W260="IGEN"),0,IF(AND(K260&lt;&gt;"IGEN",L260="IGEN",U260="NEM"),0,S260)))</f>
        <v/>
      </c>
      <c r="AI260" s="6">
        <f>IF(AH260="","",IF(M260="IGEN",MIN(AH260,AG260),AH260))</f>
        <v/>
      </c>
      <c r="AJ260" s="5" t="n"/>
    </row>
    <row r="261">
      <c r="A261" s="5" t="n"/>
      <c r="B261" s="5" t="n"/>
      <c r="C261" s="5" t="n"/>
      <c r="D261" s="5">
        <f>IF(AND(B261&lt;&gt;"",C261&lt;&gt;""),C261-B261+1,"")</f>
        <v/>
      </c>
      <c r="E261" s="5">
        <f>IF(B261&lt;&gt;"",YEAR(B261),"")</f>
        <v/>
      </c>
      <c r="F261" s="6" t="n"/>
      <c r="G261" s="6" t="n"/>
      <c r="H261" s="6" t="n"/>
      <c r="I261" s="5">
        <f>IF(H261="","",IFERROR(INDEX(Szabályok!$B$13:$B$200,MATCH(H261,Szabályok!$A$13:$A$200,0)),""))</f>
        <v/>
      </c>
      <c r="J261" s="5">
        <f>IF(H261="","",IFERROR(INDEX(Szabályok!$C$13:$C$200,MATCH(H261,Szabályok!$A$13:$A$200,0)),""))</f>
        <v/>
      </c>
      <c r="K261" s="5">
        <f>IF(H261="","",IFERROR(INDEX(Szabályok!$D$13:$D$200,MATCH(H261,Szabályok!$A$13:$A$200,0)),""))</f>
        <v/>
      </c>
      <c r="L261" s="5">
        <f>IF(H261="","",IFERROR(INDEX(Szabályok!$E$13:$E$200,MATCH(H261,Szabályok!$A$13:$A$200,0)),""))</f>
        <v/>
      </c>
      <c r="M261" s="5">
        <f>IF(H261="","",IFERROR(INDEX(Szabályok!$F$13:$F$200,MATCH(H261,Szabályok!$A$13:$A$200,0)),""))</f>
        <v/>
      </c>
      <c r="N261" s="5">
        <f>IF(H261="","",IFERROR(INDEX(Szabályok!$G$13:$G$200,MATCH(H261,Szabályok!$A$13:$A$200,0)),""))</f>
        <v/>
      </c>
      <c r="O261" s="5">
        <f>IF(H261="","",IFERROR(INDEX(Szabályok!$H$13:$H$200,MATCH(H261,Szabályok!$A$13:$A$200,0)),""))</f>
        <v/>
      </c>
      <c r="P261" s="5" t="n"/>
      <c r="Q261" s="6" t="n"/>
      <c r="R261" s="6" t="n"/>
      <c r="S261" s="6">
        <f>IF(COUNT(Q261:R261)=0,"",SUM(Q261:R261))</f>
        <v/>
      </c>
      <c r="T261" s="6" t="n"/>
      <c r="U261" s="5">
        <f>IF(T261="","",IF(L261&lt;&gt;"IGEN","IGEN",IF(S261&gt;=T261,"IGEN","NEM")))</f>
        <v/>
      </c>
      <c r="V261" s="5" t="n"/>
      <c r="W261" s="5" t="n"/>
      <c r="X261" s="5" t="n"/>
      <c r="Y261" s="5" t="n"/>
      <c r="Z261" s="5">
        <f>IF(X261="","",IF(COUNTIFS($X$5:$X$304,X261,$I$5:$I$304,"&lt;"&amp;I261)=0,I261,""))</f>
        <v/>
      </c>
      <c r="AA261" s="5">
        <f>IF(X261="","",IF(COUNTIFS($X$5:$X$304,X261,$I$5:$I$304,"&lt;"&amp;I261)&gt;0,"NEM",IF(COUNTIFS($X$5:$X$304,X261,$I$5:$I$304,I261)=1,"IGEN",IF(Y261=1,"IGEN","NEM"))))</f>
        <v/>
      </c>
      <c r="AB261" s="5">
        <f>IF(OR(I261="",J261=""),"",IF(OR(I261=0,V261="IGEN",W261="IGEN"),"X",IF(AND(K261&lt;&gt;"IGEN",L261="IGEN",U261="NEM"),"X",IF(AA261="IGEN",J261,"X"))))</f>
        <v/>
      </c>
      <c r="AC261" s="5">
        <f>IF(AB261="X",0,IF(D261="","",D261))</f>
        <v/>
      </c>
      <c r="AD261" s="5">
        <f>IF(AB261="X",IF(D261="","",D261),0)</f>
        <v/>
      </c>
      <c r="AE261" s="6" t="n"/>
      <c r="AF261" s="6">
        <f>IF(E261="","",SUMIFS($AI$5:AI261,$E$5:E261,E261)-AI261)</f>
        <v/>
      </c>
      <c r="AG261" s="6">
        <f>IF(AE261="","",MAX(0,AE261-AF261))</f>
        <v/>
      </c>
      <c r="AH261" s="6">
        <f>IF(S261="","",IF(OR(I261=0,V261="IGEN",W261="IGEN"),0,IF(AND(K261&lt;&gt;"IGEN",L261="IGEN",U261="NEM"),0,S261)))</f>
        <v/>
      </c>
      <c r="AI261" s="6">
        <f>IF(AH261="","",IF(M261="IGEN",MIN(AH261,AG261),AH261))</f>
        <v/>
      </c>
      <c r="AJ261" s="5" t="n"/>
    </row>
    <row r="262">
      <c r="A262" s="5" t="n"/>
      <c r="B262" s="5" t="n"/>
      <c r="C262" s="5" t="n"/>
      <c r="D262" s="5">
        <f>IF(AND(B262&lt;&gt;"",C262&lt;&gt;""),C262-B262+1,"")</f>
        <v/>
      </c>
      <c r="E262" s="5">
        <f>IF(B262&lt;&gt;"",YEAR(B262),"")</f>
        <v/>
      </c>
      <c r="F262" s="6" t="n"/>
      <c r="G262" s="6" t="n"/>
      <c r="H262" s="6" t="n"/>
      <c r="I262" s="5">
        <f>IF(H262="","",IFERROR(INDEX(Szabályok!$B$13:$B$200,MATCH(H262,Szabályok!$A$13:$A$200,0)),""))</f>
        <v/>
      </c>
      <c r="J262" s="5">
        <f>IF(H262="","",IFERROR(INDEX(Szabályok!$C$13:$C$200,MATCH(H262,Szabályok!$A$13:$A$200,0)),""))</f>
        <v/>
      </c>
      <c r="K262" s="5">
        <f>IF(H262="","",IFERROR(INDEX(Szabályok!$D$13:$D$200,MATCH(H262,Szabályok!$A$13:$A$200,0)),""))</f>
        <v/>
      </c>
      <c r="L262" s="5">
        <f>IF(H262="","",IFERROR(INDEX(Szabályok!$E$13:$E$200,MATCH(H262,Szabályok!$A$13:$A$200,0)),""))</f>
        <v/>
      </c>
      <c r="M262" s="5">
        <f>IF(H262="","",IFERROR(INDEX(Szabályok!$F$13:$F$200,MATCH(H262,Szabályok!$A$13:$A$200,0)),""))</f>
        <v/>
      </c>
      <c r="N262" s="5">
        <f>IF(H262="","",IFERROR(INDEX(Szabályok!$G$13:$G$200,MATCH(H262,Szabályok!$A$13:$A$200,0)),""))</f>
        <v/>
      </c>
      <c r="O262" s="5">
        <f>IF(H262="","",IFERROR(INDEX(Szabályok!$H$13:$H$200,MATCH(H262,Szabályok!$A$13:$A$200,0)),""))</f>
        <v/>
      </c>
      <c r="P262" s="5" t="n"/>
      <c r="Q262" s="6" t="n"/>
      <c r="R262" s="6" t="n"/>
      <c r="S262" s="6">
        <f>IF(COUNT(Q262:R262)=0,"",SUM(Q262:R262))</f>
        <v/>
      </c>
      <c r="T262" s="6" t="n"/>
      <c r="U262" s="5">
        <f>IF(T262="","",IF(L262&lt;&gt;"IGEN","IGEN",IF(S262&gt;=T262,"IGEN","NEM")))</f>
        <v/>
      </c>
      <c r="V262" s="5" t="n"/>
      <c r="W262" s="5" t="n"/>
      <c r="X262" s="5" t="n"/>
      <c r="Y262" s="5" t="n"/>
      <c r="Z262" s="5">
        <f>IF(X262="","",IF(COUNTIFS($X$5:$X$304,X262,$I$5:$I$304,"&lt;"&amp;I262)=0,I262,""))</f>
        <v/>
      </c>
      <c r="AA262" s="5">
        <f>IF(X262="","",IF(COUNTIFS($X$5:$X$304,X262,$I$5:$I$304,"&lt;"&amp;I262)&gt;0,"NEM",IF(COUNTIFS($X$5:$X$304,X262,$I$5:$I$304,I262)=1,"IGEN",IF(Y262=1,"IGEN","NEM"))))</f>
        <v/>
      </c>
      <c r="AB262" s="5">
        <f>IF(OR(I262="",J262=""),"",IF(OR(I262=0,V262="IGEN",W262="IGEN"),"X",IF(AND(K262&lt;&gt;"IGEN",L262="IGEN",U262="NEM"),"X",IF(AA262="IGEN",J262,"X"))))</f>
        <v/>
      </c>
      <c r="AC262" s="5">
        <f>IF(AB262="X",0,IF(D262="","",D262))</f>
        <v/>
      </c>
      <c r="AD262" s="5">
        <f>IF(AB262="X",IF(D262="","",D262),0)</f>
        <v/>
      </c>
      <c r="AE262" s="6" t="n"/>
      <c r="AF262" s="6">
        <f>IF(E262="","",SUMIFS($AI$5:AI262,$E$5:E262,E262)-AI262)</f>
        <v/>
      </c>
      <c r="AG262" s="6">
        <f>IF(AE262="","",MAX(0,AE262-AF262))</f>
        <v/>
      </c>
      <c r="AH262" s="6">
        <f>IF(S262="","",IF(OR(I262=0,V262="IGEN",W262="IGEN"),0,IF(AND(K262&lt;&gt;"IGEN",L262="IGEN",U262="NEM"),0,S262)))</f>
        <v/>
      </c>
      <c r="AI262" s="6">
        <f>IF(AH262="","",IF(M262="IGEN",MIN(AH262,AG262),AH262))</f>
        <v/>
      </c>
      <c r="AJ262" s="5" t="n"/>
    </row>
    <row r="263">
      <c r="A263" s="5" t="n"/>
      <c r="B263" s="5" t="n"/>
      <c r="C263" s="5" t="n"/>
      <c r="D263" s="5">
        <f>IF(AND(B263&lt;&gt;"",C263&lt;&gt;""),C263-B263+1,"")</f>
        <v/>
      </c>
      <c r="E263" s="5">
        <f>IF(B263&lt;&gt;"",YEAR(B263),"")</f>
        <v/>
      </c>
      <c r="F263" s="6" t="n"/>
      <c r="G263" s="6" t="n"/>
      <c r="H263" s="6" t="n"/>
      <c r="I263" s="5">
        <f>IF(H263="","",IFERROR(INDEX(Szabályok!$B$13:$B$200,MATCH(H263,Szabályok!$A$13:$A$200,0)),""))</f>
        <v/>
      </c>
      <c r="J263" s="5">
        <f>IF(H263="","",IFERROR(INDEX(Szabályok!$C$13:$C$200,MATCH(H263,Szabályok!$A$13:$A$200,0)),""))</f>
        <v/>
      </c>
      <c r="K263" s="5">
        <f>IF(H263="","",IFERROR(INDEX(Szabályok!$D$13:$D$200,MATCH(H263,Szabályok!$A$13:$A$200,0)),""))</f>
        <v/>
      </c>
      <c r="L263" s="5">
        <f>IF(H263="","",IFERROR(INDEX(Szabályok!$E$13:$E$200,MATCH(H263,Szabályok!$A$13:$A$200,0)),""))</f>
        <v/>
      </c>
      <c r="M263" s="5">
        <f>IF(H263="","",IFERROR(INDEX(Szabályok!$F$13:$F$200,MATCH(H263,Szabályok!$A$13:$A$200,0)),""))</f>
        <v/>
      </c>
      <c r="N263" s="5">
        <f>IF(H263="","",IFERROR(INDEX(Szabályok!$G$13:$G$200,MATCH(H263,Szabályok!$A$13:$A$200,0)),""))</f>
        <v/>
      </c>
      <c r="O263" s="5">
        <f>IF(H263="","",IFERROR(INDEX(Szabályok!$H$13:$H$200,MATCH(H263,Szabályok!$A$13:$A$200,0)),""))</f>
        <v/>
      </c>
      <c r="P263" s="5" t="n"/>
      <c r="Q263" s="6" t="n"/>
      <c r="R263" s="6" t="n"/>
      <c r="S263" s="6">
        <f>IF(COUNT(Q263:R263)=0,"",SUM(Q263:R263))</f>
        <v/>
      </c>
      <c r="T263" s="6" t="n"/>
      <c r="U263" s="5">
        <f>IF(T263="","",IF(L263&lt;&gt;"IGEN","IGEN",IF(S263&gt;=T263,"IGEN","NEM")))</f>
        <v/>
      </c>
      <c r="V263" s="5" t="n"/>
      <c r="W263" s="5" t="n"/>
      <c r="X263" s="5" t="n"/>
      <c r="Y263" s="5" t="n"/>
      <c r="Z263" s="5">
        <f>IF(X263="","",IF(COUNTIFS($X$5:$X$304,X263,$I$5:$I$304,"&lt;"&amp;I263)=0,I263,""))</f>
        <v/>
      </c>
      <c r="AA263" s="5">
        <f>IF(X263="","",IF(COUNTIFS($X$5:$X$304,X263,$I$5:$I$304,"&lt;"&amp;I263)&gt;0,"NEM",IF(COUNTIFS($X$5:$X$304,X263,$I$5:$I$304,I263)=1,"IGEN",IF(Y263=1,"IGEN","NEM"))))</f>
        <v/>
      </c>
      <c r="AB263" s="5">
        <f>IF(OR(I263="",J263=""),"",IF(OR(I263=0,V263="IGEN",W263="IGEN"),"X",IF(AND(K263&lt;&gt;"IGEN",L263="IGEN",U263="NEM"),"X",IF(AA263="IGEN",J263,"X"))))</f>
        <v/>
      </c>
      <c r="AC263" s="5">
        <f>IF(AB263="X",0,IF(D263="","",D263))</f>
        <v/>
      </c>
      <c r="AD263" s="5">
        <f>IF(AB263="X",IF(D263="","",D263),0)</f>
        <v/>
      </c>
      <c r="AE263" s="6" t="n"/>
      <c r="AF263" s="6">
        <f>IF(E263="","",SUMIFS($AI$5:AI263,$E$5:E263,E263)-AI263)</f>
        <v/>
      </c>
      <c r="AG263" s="6">
        <f>IF(AE263="","",MAX(0,AE263-AF263))</f>
        <v/>
      </c>
      <c r="AH263" s="6">
        <f>IF(S263="","",IF(OR(I263=0,V263="IGEN",W263="IGEN"),0,IF(AND(K263&lt;&gt;"IGEN",L263="IGEN",U263="NEM"),0,S263)))</f>
        <v/>
      </c>
      <c r="AI263" s="6">
        <f>IF(AH263="","",IF(M263="IGEN",MIN(AH263,AG263),AH263))</f>
        <v/>
      </c>
      <c r="AJ263" s="5" t="n"/>
    </row>
    <row r="264">
      <c r="A264" s="5" t="n"/>
      <c r="B264" s="5" t="n"/>
      <c r="C264" s="5" t="n"/>
      <c r="D264" s="5">
        <f>IF(AND(B264&lt;&gt;"",C264&lt;&gt;""),C264-B264+1,"")</f>
        <v/>
      </c>
      <c r="E264" s="5">
        <f>IF(B264&lt;&gt;"",YEAR(B264),"")</f>
        <v/>
      </c>
      <c r="F264" s="6" t="n"/>
      <c r="G264" s="6" t="n"/>
      <c r="H264" s="6" t="n"/>
      <c r="I264" s="5">
        <f>IF(H264="","",IFERROR(INDEX(Szabályok!$B$13:$B$200,MATCH(H264,Szabályok!$A$13:$A$200,0)),""))</f>
        <v/>
      </c>
      <c r="J264" s="5">
        <f>IF(H264="","",IFERROR(INDEX(Szabályok!$C$13:$C$200,MATCH(H264,Szabályok!$A$13:$A$200,0)),""))</f>
        <v/>
      </c>
      <c r="K264" s="5">
        <f>IF(H264="","",IFERROR(INDEX(Szabályok!$D$13:$D$200,MATCH(H264,Szabályok!$A$13:$A$200,0)),""))</f>
        <v/>
      </c>
      <c r="L264" s="5">
        <f>IF(H264="","",IFERROR(INDEX(Szabályok!$E$13:$E$200,MATCH(H264,Szabályok!$A$13:$A$200,0)),""))</f>
        <v/>
      </c>
      <c r="M264" s="5">
        <f>IF(H264="","",IFERROR(INDEX(Szabályok!$F$13:$F$200,MATCH(H264,Szabályok!$A$13:$A$200,0)),""))</f>
        <v/>
      </c>
      <c r="N264" s="5">
        <f>IF(H264="","",IFERROR(INDEX(Szabályok!$G$13:$G$200,MATCH(H264,Szabályok!$A$13:$A$200,0)),""))</f>
        <v/>
      </c>
      <c r="O264" s="5">
        <f>IF(H264="","",IFERROR(INDEX(Szabályok!$H$13:$H$200,MATCH(H264,Szabályok!$A$13:$A$200,0)),""))</f>
        <v/>
      </c>
      <c r="P264" s="5" t="n"/>
      <c r="Q264" s="6" t="n"/>
      <c r="R264" s="6" t="n"/>
      <c r="S264" s="6">
        <f>IF(COUNT(Q264:R264)=0,"",SUM(Q264:R264))</f>
        <v/>
      </c>
      <c r="T264" s="6" t="n"/>
      <c r="U264" s="5">
        <f>IF(T264="","",IF(L264&lt;&gt;"IGEN","IGEN",IF(S264&gt;=T264,"IGEN","NEM")))</f>
        <v/>
      </c>
      <c r="V264" s="5" t="n"/>
      <c r="W264" s="5" t="n"/>
      <c r="X264" s="5" t="n"/>
      <c r="Y264" s="5" t="n"/>
      <c r="Z264" s="5">
        <f>IF(X264="","",IF(COUNTIFS($X$5:$X$304,X264,$I$5:$I$304,"&lt;"&amp;I264)=0,I264,""))</f>
        <v/>
      </c>
      <c r="AA264" s="5">
        <f>IF(X264="","",IF(COUNTIFS($X$5:$X$304,X264,$I$5:$I$304,"&lt;"&amp;I264)&gt;0,"NEM",IF(COUNTIFS($X$5:$X$304,X264,$I$5:$I$304,I264)=1,"IGEN",IF(Y264=1,"IGEN","NEM"))))</f>
        <v/>
      </c>
      <c r="AB264" s="5">
        <f>IF(OR(I264="",J264=""),"",IF(OR(I264=0,V264="IGEN",W264="IGEN"),"X",IF(AND(K264&lt;&gt;"IGEN",L264="IGEN",U264="NEM"),"X",IF(AA264="IGEN",J264,"X"))))</f>
        <v/>
      </c>
      <c r="AC264" s="5">
        <f>IF(AB264="X",0,IF(D264="","",D264))</f>
        <v/>
      </c>
      <c r="AD264" s="5">
        <f>IF(AB264="X",IF(D264="","",D264),0)</f>
        <v/>
      </c>
      <c r="AE264" s="6" t="n"/>
      <c r="AF264" s="6">
        <f>IF(E264="","",SUMIFS($AI$5:AI264,$E$5:E264,E264)-AI264)</f>
        <v/>
      </c>
      <c r="AG264" s="6">
        <f>IF(AE264="","",MAX(0,AE264-AF264))</f>
        <v/>
      </c>
      <c r="AH264" s="6">
        <f>IF(S264="","",IF(OR(I264=0,V264="IGEN",W264="IGEN"),0,IF(AND(K264&lt;&gt;"IGEN",L264="IGEN",U264="NEM"),0,S264)))</f>
        <v/>
      </c>
      <c r="AI264" s="6">
        <f>IF(AH264="","",IF(M264="IGEN",MIN(AH264,AG264),AH264))</f>
        <v/>
      </c>
      <c r="AJ264" s="5" t="n"/>
    </row>
    <row r="265">
      <c r="A265" s="5" t="n"/>
      <c r="B265" s="5" t="n"/>
      <c r="C265" s="5" t="n"/>
      <c r="D265" s="5">
        <f>IF(AND(B265&lt;&gt;"",C265&lt;&gt;""),C265-B265+1,"")</f>
        <v/>
      </c>
      <c r="E265" s="5">
        <f>IF(B265&lt;&gt;"",YEAR(B265),"")</f>
        <v/>
      </c>
      <c r="F265" s="6" t="n"/>
      <c r="G265" s="6" t="n"/>
      <c r="H265" s="6" t="n"/>
      <c r="I265" s="5">
        <f>IF(H265="","",IFERROR(INDEX(Szabályok!$B$13:$B$200,MATCH(H265,Szabályok!$A$13:$A$200,0)),""))</f>
        <v/>
      </c>
      <c r="J265" s="5">
        <f>IF(H265="","",IFERROR(INDEX(Szabályok!$C$13:$C$200,MATCH(H265,Szabályok!$A$13:$A$200,0)),""))</f>
        <v/>
      </c>
      <c r="K265" s="5">
        <f>IF(H265="","",IFERROR(INDEX(Szabályok!$D$13:$D$200,MATCH(H265,Szabályok!$A$13:$A$200,0)),""))</f>
        <v/>
      </c>
      <c r="L265" s="5">
        <f>IF(H265="","",IFERROR(INDEX(Szabályok!$E$13:$E$200,MATCH(H265,Szabályok!$A$13:$A$200,0)),""))</f>
        <v/>
      </c>
      <c r="M265" s="5">
        <f>IF(H265="","",IFERROR(INDEX(Szabályok!$F$13:$F$200,MATCH(H265,Szabályok!$A$13:$A$200,0)),""))</f>
        <v/>
      </c>
      <c r="N265" s="5">
        <f>IF(H265="","",IFERROR(INDEX(Szabályok!$G$13:$G$200,MATCH(H265,Szabályok!$A$13:$A$200,0)),""))</f>
        <v/>
      </c>
      <c r="O265" s="5">
        <f>IF(H265="","",IFERROR(INDEX(Szabályok!$H$13:$H$200,MATCH(H265,Szabályok!$A$13:$A$200,0)),""))</f>
        <v/>
      </c>
      <c r="P265" s="5" t="n"/>
      <c r="Q265" s="6" t="n"/>
      <c r="R265" s="6" t="n"/>
      <c r="S265" s="6">
        <f>IF(COUNT(Q265:R265)=0,"",SUM(Q265:R265))</f>
        <v/>
      </c>
      <c r="T265" s="6" t="n"/>
      <c r="U265" s="5">
        <f>IF(T265="","",IF(L265&lt;&gt;"IGEN","IGEN",IF(S265&gt;=T265,"IGEN","NEM")))</f>
        <v/>
      </c>
      <c r="V265" s="5" t="n"/>
      <c r="W265" s="5" t="n"/>
      <c r="X265" s="5" t="n"/>
      <c r="Y265" s="5" t="n"/>
      <c r="Z265" s="5">
        <f>IF(X265="","",IF(COUNTIFS($X$5:$X$304,X265,$I$5:$I$304,"&lt;"&amp;I265)=0,I265,""))</f>
        <v/>
      </c>
      <c r="AA265" s="5">
        <f>IF(X265="","",IF(COUNTIFS($X$5:$X$304,X265,$I$5:$I$304,"&lt;"&amp;I265)&gt;0,"NEM",IF(COUNTIFS($X$5:$X$304,X265,$I$5:$I$304,I265)=1,"IGEN",IF(Y265=1,"IGEN","NEM"))))</f>
        <v/>
      </c>
      <c r="AB265" s="5">
        <f>IF(OR(I265="",J265=""),"",IF(OR(I265=0,V265="IGEN",W265="IGEN"),"X",IF(AND(K265&lt;&gt;"IGEN",L265="IGEN",U265="NEM"),"X",IF(AA265="IGEN",J265,"X"))))</f>
        <v/>
      </c>
      <c r="AC265" s="5">
        <f>IF(AB265="X",0,IF(D265="","",D265))</f>
        <v/>
      </c>
      <c r="AD265" s="5">
        <f>IF(AB265="X",IF(D265="","",D265),0)</f>
        <v/>
      </c>
      <c r="AE265" s="6" t="n"/>
      <c r="AF265" s="6">
        <f>IF(E265="","",SUMIFS($AI$5:AI265,$E$5:E265,E265)-AI265)</f>
        <v/>
      </c>
      <c r="AG265" s="6">
        <f>IF(AE265="","",MAX(0,AE265-AF265))</f>
        <v/>
      </c>
      <c r="AH265" s="6">
        <f>IF(S265="","",IF(OR(I265=0,V265="IGEN",W265="IGEN"),0,IF(AND(K265&lt;&gt;"IGEN",L265="IGEN",U265="NEM"),0,S265)))</f>
        <v/>
      </c>
      <c r="AI265" s="6">
        <f>IF(AH265="","",IF(M265="IGEN",MIN(AH265,AG265),AH265))</f>
        <v/>
      </c>
      <c r="AJ265" s="5" t="n"/>
    </row>
    <row r="266">
      <c r="A266" s="5" t="n"/>
      <c r="B266" s="5" t="n"/>
      <c r="C266" s="5" t="n"/>
      <c r="D266" s="5">
        <f>IF(AND(B266&lt;&gt;"",C266&lt;&gt;""),C266-B266+1,"")</f>
        <v/>
      </c>
      <c r="E266" s="5">
        <f>IF(B266&lt;&gt;"",YEAR(B266),"")</f>
        <v/>
      </c>
      <c r="F266" s="6" t="n"/>
      <c r="G266" s="6" t="n"/>
      <c r="H266" s="6" t="n"/>
      <c r="I266" s="5">
        <f>IF(H266="","",IFERROR(INDEX(Szabályok!$B$13:$B$200,MATCH(H266,Szabályok!$A$13:$A$200,0)),""))</f>
        <v/>
      </c>
      <c r="J266" s="5">
        <f>IF(H266="","",IFERROR(INDEX(Szabályok!$C$13:$C$200,MATCH(H266,Szabályok!$A$13:$A$200,0)),""))</f>
        <v/>
      </c>
      <c r="K266" s="5">
        <f>IF(H266="","",IFERROR(INDEX(Szabályok!$D$13:$D$200,MATCH(H266,Szabályok!$A$13:$A$200,0)),""))</f>
        <v/>
      </c>
      <c r="L266" s="5">
        <f>IF(H266="","",IFERROR(INDEX(Szabályok!$E$13:$E$200,MATCH(H266,Szabályok!$A$13:$A$200,0)),""))</f>
        <v/>
      </c>
      <c r="M266" s="5">
        <f>IF(H266="","",IFERROR(INDEX(Szabályok!$F$13:$F$200,MATCH(H266,Szabályok!$A$13:$A$200,0)),""))</f>
        <v/>
      </c>
      <c r="N266" s="5">
        <f>IF(H266="","",IFERROR(INDEX(Szabályok!$G$13:$G$200,MATCH(H266,Szabályok!$A$13:$A$200,0)),""))</f>
        <v/>
      </c>
      <c r="O266" s="5">
        <f>IF(H266="","",IFERROR(INDEX(Szabályok!$H$13:$H$200,MATCH(H266,Szabályok!$A$13:$A$200,0)),""))</f>
        <v/>
      </c>
      <c r="P266" s="5" t="n"/>
      <c r="Q266" s="6" t="n"/>
      <c r="R266" s="6" t="n"/>
      <c r="S266" s="6">
        <f>IF(COUNT(Q266:R266)=0,"",SUM(Q266:R266))</f>
        <v/>
      </c>
      <c r="T266" s="6" t="n"/>
      <c r="U266" s="5">
        <f>IF(T266="","",IF(L266&lt;&gt;"IGEN","IGEN",IF(S266&gt;=T266,"IGEN","NEM")))</f>
        <v/>
      </c>
      <c r="V266" s="5" t="n"/>
      <c r="W266" s="5" t="n"/>
      <c r="X266" s="5" t="n"/>
      <c r="Y266" s="5" t="n"/>
      <c r="Z266" s="5">
        <f>IF(X266="","",IF(COUNTIFS($X$5:$X$304,X266,$I$5:$I$304,"&lt;"&amp;I266)=0,I266,""))</f>
        <v/>
      </c>
      <c r="AA266" s="5">
        <f>IF(X266="","",IF(COUNTIFS($X$5:$X$304,X266,$I$5:$I$304,"&lt;"&amp;I266)&gt;0,"NEM",IF(COUNTIFS($X$5:$X$304,X266,$I$5:$I$304,I266)=1,"IGEN",IF(Y266=1,"IGEN","NEM"))))</f>
        <v/>
      </c>
      <c r="AB266" s="5">
        <f>IF(OR(I266="",J266=""),"",IF(OR(I266=0,V266="IGEN",W266="IGEN"),"X",IF(AND(K266&lt;&gt;"IGEN",L266="IGEN",U266="NEM"),"X",IF(AA266="IGEN",J266,"X"))))</f>
        <v/>
      </c>
      <c r="AC266" s="5">
        <f>IF(AB266="X",0,IF(D266="","",D266))</f>
        <v/>
      </c>
      <c r="AD266" s="5">
        <f>IF(AB266="X",IF(D266="","",D266),0)</f>
        <v/>
      </c>
      <c r="AE266" s="6" t="n"/>
      <c r="AF266" s="6">
        <f>IF(E266="","",SUMIFS($AI$5:AI266,$E$5:E266,E266)-AI266)</f>
        <v/>
      </c>
      <c r="AG266" s="6">
        <f>IF(AE266="","",MAX(0,AE266-AF266))</f>
        <v/>
      </c>
      <c r="AH266" s="6">
        <f>IF(S266="","",IF(OR(I266=0,V266="IGEN",W266="IGEN"),0,IF(AND(K266&lt;&gt;"IGEN",L266="IGEN",U266="NEM"),0,S266)))</f>
        <v/>
      </c>
      <c r="AI266" s="6">
        <f>IF(AH266="","",IF(M266="IGEN",MIN(AH266,AG266),AH266))</f>
        <v/>
      </c>
      <c r="AJ266" s="5" t="n"/>
    </row>
    <row r="267">
      <c r="A267" s="5" t="n"/>
      <c r="B267" s="5" t="n"/>
      <c r="C267" s="5" t="n"/>
      <c r="D267" s="5">
        <f>IF(AND(B267&lt;&gt;"",C267&lt;&gt;""),C267-B267+1,"")</f>
        <v/>
      </c>
      <c r="E267" s="5">
        <f>IF(B267&lt;&gt;"",YEAR(B267),"")</f>
        <v/>
      </c>
      <c r="F267" s="6" t="n"/>
      <c r="G267" s="6" t="n"/>
      <c r="H267" s="6" t="n"/>
      <c r="I267" s="5">
        <f>IF(H267="","",IFERROR(INDEX(Szabályok!$B$13:$B$200,MATCH(H267,Szabályok!$A$13:$A$200,0)),""))</f>
        <v/>
      </c>
      <c r="J267" s="5">
        <f>IF(H267="","",IFERROR(INDEX(Szabályok!$C$13:$C$200,MATCH(H267,Szabályok!$A$13:$A$200,0)),""))</f>
        <v/>
      </c>
      <c r="K267" s="5">
        <f>IF(H267="","",IFERROR(INDEX(Szabályok!$D$13:$D$200,MATCH(H267,Szabályok!$A$13:$A$200,0)),""))</f>
        <v/>
      </c>
      <c r="L267" s="5">
        <f>IF(H267="","",IFERROR(INDEX(Szabályok!$E$13:$E$200,MATCH(H267,Szabályok!$A$13:$A$200,0)),""))</f>
        <v/>
      </c>
      <c r="M267" s="5">
        <f>IF(H267="","",IFERROR(INDEX(Szabályok!$F$13:$F$200,MATCH(H267,Szabályok!$A$13:$A$200,0)),""))</f>
        <v/>
      </c>
      <c r="N267" s="5">
        <f>IF(H267="","",IFERROR(INDEX(Szabályok!$G$13:$G$200,MATCH(H267,Szabályok!$A$13:$A$200,0)),""))</f>
        <v/>
      </c>
      <c r="O267" s="5">
        <f>IF(H267="","",IFERROR(INDEX(Szabályok!$H$13:$H$200,MATCH(H267,Szabályok!$A$13:$A$200,0)),""))</f>
        <v/>
      </c>
      <c r="P267" s="5" t="n"/>
      <c r="Q267" s="6" t="n"/>
      <c r="R267" s="6" t="n"/>
      <c r="S267" s="6">
        <f>IF(COUNT(Q267:R267)=0,"",SUM(Q267:R267))</f>
        <v/>
      </c>
      <c r="T267" s="6" t="n"/>
      <c r="U267" s="5">
        <f>IF(T267="","",IF(L267&lt;&gt;"IGEN","IGEN",IF(S267&gt;=T267,"IGEN","NEM")))</f>
        <v/>
      </c>
      <c r="V267" s="5" t="n"/>
      <c r="W267" s="5" t="n"/>
      <c r="X267" s="5" t="n"/>
      <c r="Y267" s="5" t="n"/>
      <c r="Z267" s="5">
        <f>IF(X267="","",IF(COUNTIFS($X$5:$X$304,X267,$I$5:$I$304,"&lt;"&amp;I267)=0,I267,""))</f>
        <v/>
      </c>
      <c r="AA267" s="5">
        <f>IF(X267="","",IF(COUNTIFS($X$5:$X$304,X267,$I$5:$I$304,"&lt;"&amp;I267)&gt;0,"NEM",IF(COUNTIFS($X$5:$X$304,X267,$I$5:$I$304,I267)=1,"IGEN",IF(Y267=1,"IGEN","NEM"))))</f>
        <v/>
      </c>
      <c r="AB267" s="5">
        <f>IF(OR(I267="",J267=""),"",IF(OR(I267=0,V267="IGEN",W267="IGEN"),"X",IF(AND(K267&lt;&gt;"IGEN",L267="IGEN",U267="NEM"),"X",IF(AA267="IGEN",J267,"X"))))</f>
        <v/>
      </c>
      <c r="AC267" s="5">
        <f>IF(AB267="X",0,IF(D267="","",D267))</f>
        <v/>
      </c>
      <c r="AD267" s="5">
        <f>IF(AB267="X",IF(D267="","",D267),0)</f>
        <v/>
      </c>
      <c r="AE267" s="6" t="n"/>
      <c r="AF267" s="6">
        <f>IF(E267="","",SUMIFS($AI$5:AI267,$E$5:E267,E267)-AI267)</f>
        <v/>
      </c>
      <c r="AG267" s="6">
        <f>IF(AE267="","",MAX(0,AE267-AF267))</f>
        <v/>
      </c>
      <c r="AH267" s="6">
        <f>IF(S267="","",IF(OR(I267=0,V267="IGEN",W267="IGEN"),0,IF(AND(K267&lt;&gt;"IGEN",L267="IGEN",U267="NEM"),0,S267)))</f>
        <v/>
      </c>
      <c r="AI267" s="6">
        <f>IF(AH267="","",IF(M267="IGEN",MIN(AH267,AG267),AH267))</f>
        <v/>
      </c>
      <c r="AJ267" s="5" t="n"/>
    </row>
    <row r="268">
      <c r="A268" s="5" t="n"/>
      <c r="B268" s="5" t="n"/>
      <c r="C268" s="5" t="n"/>
      <c r="D268" s="5">
        <f>IF(AND(B268&lt;&gt;"",C268&lt;&gt;""),C268-B268+1,"")</f>
        <v/>
      </c>
      <c r="E268" s="5">
        <f>IF(B268&lt;&gt;"",YEAR(B268),"")</f>
        <v/>
      </c>
      <c r="F268" s="6" t="n"/>
      <c r="G268" s="6" t="n"/>
      <c r="H268" s="6" t="n"/>
      <c r="I268" s="5">
        <f>IF(H268="","",IFERROR(INDEX(Szabályok!$B$13:$B$200,MATCH(H268,Szabályok!$A$13:$A$200,0)),""))</f>
        <v/>
      </c>
      <c r="J268" s="5">
        <f>IF(H268="","",IFERROR(INDEX(Szabályok!$C$13:$C$200,MATCH(H268,Szabályok!$A$13:$A$200,0)),""))</f>
        <v/>
      </c>
      <c r="K268" s="5">
        <f>IF(H268="","",IFERROR(INDEX(Szabályok!$D$13:$D$200,MATCH(H268,Szabályok!$A$13:$A$200,0)),""))</f>
        <v/>
      </c>
      <c r="L268" s="5">
        <f>IF(H268="","",IFERROR(INDEX(Szabályok!$E$13:$E$200,MATCH(H268,Szabályok!$A$13:$A$200,0)),""))</f>
        <v/>
      </c>
      <c r="M268" s="5">
        <f>IF(H268="","",IFERROR(INDEX(Szabályok!$F$13:$F$200,MATCH(H268,Szabályok!$A$13:$A$200,0)),""))</f>
        <v/>
      </c>
      <c r="N268" s="5">
        <f>IF(H268="","",IFERROR(INDEX(Szabályok!$G$13:$G$200,MATCH(H268,Szabályok!$A$13:$A$200,0)),""))</f>
        <v/>
      </c>
      <c r="O268" s="5">
        <f>IF(H268="","",IFERROR(INDEX(Szabályok!$H$13:$H$200,MATCH(H268,Szabályok!$A$13:$A$200,0)),""))</f>
        <v/>
      </c>
      <c r="P268" s="5" t="n"/>
      <c r="Q268" s="6" t="n"/>
      <c r="R268" s="6" t="n"/>
      <c r="S268" s="6">
        <f>IF(COUNT(Q268:R268)=0,"",SUM(Q268:R268))</f>
        <v/>
      </c>
      <c r="T268" s="6" t="n"/>
      <c r="U268" s="5">
        <f>IF(T268="","",IF(L268&lt;&gt;"IGEN","IGEN",IF(S268&gt;=T268,"IGEN","NEM")))</f>
        <v/>
      </c>
      <c r="V268" s="5" t="n"/>
      <c r="W268" s="5" t="n"/>
      <c r="X268" s="5" t="n"/>
      <c r="Y268" s="5" t="n"/>
      <c r="Z268" s="5">
        <f>IF(X268="","",IF(COUNTIFS($X$5:$X$304,X268,$I$5:$I$304,"&lt;"&amp;I268)=0,I268,""))</f>
        <v/>
      </c>
      <c r="AA268" s="5">
        <f>IF(X268="","",IF(COUNTIFS($X$5:$X$304,X268,$I$5:$I$304,"&lt;"&amp;I268)&gt;0,"NEM",IF(COUNTIFS($X$5:$X$304,X268,$I$5:$I$304,I268)=1,"IGEN",IF(Y268=1,"IGEN","NEM"))))</f>
        <v/>
      </c>
      <c r="AB268" s="5">
        <f>IF(OR(I268="",J268=""),"",IF(OR(I268=0,V268="IGEN",W268="IGEN"),"X",IF(AND(K268&lt;&gt;"IGEN",L268="IGEN",U268="NEM"),"X",IF(AA268="IGEN",J268,"X"))))</f>
        <v/>
      </c>
      <c r="AC268" s="5">
        <f>IF(AB268="X",0,IF(D268="","",D268))</f>
        <v/>
      </c>
      <c r="AD268" s="5">
        <f>IF(AB268="X",IF(D268="","",D268),0)</f>
        <v/>
      </c>
      <c r="AE268" s="6" t="n"/>
      <c r="AF268" s="6">
        <f>IF(E268="","",SUMIFS($AI$5:AI268,$E$5:E268,E268)-AI268)</f>
        <v/>
      </c>
      <c r="AG268" s="6">
        <f>IF(AE268="","",MAX(0,AE268-AF268))</f>
        <v/>
      </c>
      <c r="AH268" s="6">
        <f>IF(S268="","",IF(OR(I268=0,V268="IGEN",W268="IGEN"),0,IF(AND(K268&lt;&gt;"IGEN",L268="IGEN",U268="NEM"),0,S268)))</f>
        <v/>
      </c>
      <c r="AI268" s="6">
        <f>IF(AH268="","",IF(M268="IGEN",MIN(AH268,AG268),AH268))</f>
        <v/>
      </c>
      <c r="AJ268" s="5" t="n"/>
    </row>
    <row r="269">
      <c r="A269" s="5" t="n"/>
      <c r="B269" s="5" t="n"/>
      <c r="C269" s="5" t="n"/>
      <c r="D269" s="5">
        <f>IF(AND(B269&lt;&gt;"",C269&lt;&gt;""),C269-B269+1,"")</f>
        <v/>
      </c>
      <c r="E269" s="5">
        <f>IF(B269&lt;&gt;"",YEAR(B269),"")</f>
        <v/>
      </c>
      <c r="F269" s="6" t="n"/>
      <c r="G269" s="6" t="n"/>
      <c r="H269" s="6" t="n"/>
      <c r="I269" s="5">
        <f>IF(H269="","",IFERROR(INDEX(Szabályok!$B$13:$B$200,MATCH(H269,Szabályok!$A$13:$A$200,0)),""))</f>
        <v/>
      </c>
      <c r="J269" s="5">
        <f>IF(H269="","",IFERROR(INDEX(Szabályok!$C$13:$C$200,MATCH(H269,Szabályok!$A$13:$A$200,0)),""))</f>
        <v/>
      </c>
      <c r="K269" s="5">
        <f>IF(H269="","",IFERROR(INDEX(Szabályok!$D$13:$D$200,MATCH(H269,Szabályok!$A$13:$A$200,0)),""))</f>
        <v/>
      </c>
      <c r="L269" s="5">
        <f>IF(H269="","",IFERROR(INDEX(Szabályok!$E$13:$E$200,MATCH(H269,Szabályok!$A$13:$A$200,0)),""))</f>
        <v/>
      </c>
      <c r="M269" s="5">
        <f>IF(H269="","",IFERROR(INDEX(Szabályok!$F$13:$F$200,MATCH(H269,Szabályok!$A$13:$A$200,0)),""))</f>
        <v/>
      </c>
      <c r="N269" s="5">
        <f>IF(H269="","",IFERROR(INDEX(Szabályok!$G$13:$G$200,MATCH(H269,Szabályok!$A$13:$A$200,0)),""))</f>
        <v/>
      </c>
      <c r="O269" s="5">
        <f>IF(H269="","",IFERROR(INDEX(Szabályok!$H$13:$H$200,MATCH(H269,Szabályok!$A$13:$A$200,0)),""))</f>
        <v/>
      </c>
      <c r="P269" s="5" t="n"/>
      <c r="Q269" s="6" t="n"/>
      <c r="R269" s="6" t="n"/>
      <c r="S269" s="6">
        <f>IF(COUNT(Q269:R269)=0,"",SUM(Q269:R269))</f>
        <v/>
      </c>
      <c r="T269" s="6" t="n"/>
      <c r="U269" s="5">
        <f>IF(T269="","",IF(L269&lt;&gt;"IGEN","IGEN",IF(S269&gt;=T269,"IGEN","NEM")))</f>
        <v/>
      </c>
      <c r="V269" s="5" t="n"/>
      <c r="W269" s="5" t="n"/>
      <c r="X269" s="5" t="n"/>
      <c r="Y269" s="5" t="n"/>
      <c r="Z269" s="5">
        <f>IF(X269="","",IF(COUNTIFS($X$5:$X$304,X269,$I$5:$I$304,"&lt;"&amp;I269)=0,I269,""))</f>
        <v/>
      </c>
      <c r="AA269" s="5">
        <f>IF(X269="","",IF(COUNTIFS($X$5:$X$304,X269,$I$5:$I$304,"&lt;"&amp;I269)&gt;0,"NEM",IF(COUNTIFS($X$5:$X$304,X269,$I$5:$I$304,I269)=1,"IGEN",IF(Y269=1,"IGEN","NEM"))))</f>
        <v/>
      </c>
      <c r="AB269" s="5">
        <f>IF(OR(I269="",J269=""),"",IF(OR(I269=0,V269="IGEN",W269="IGEN"),"X",IF(AND(K269&lt;&gt;"IGEN",L269="IGEN",U269="NEM"),"X",IF(AA269="IGEN",J269,"X"))))</f>
        <v/>
      </c>
      <c r="AC269" s="5">
        <f>IF(AB269="X",0,IF(D269="","",D269))</f>
        <v/>
      </c>
      <c r="AD269" s="5">
        <f>IF(AB269="X",IF(D269="","",D269),0)</f>
        <v/>
      </c>
      <c r="AE269" s="6" t="n"/>
      <c r="AF269" s="6">
        <f>IF(E269="","",SUMIFS($AI$5:AI269,$E$5:E269,E269)-AI269)</f>
        <v/>
      </c>
      <c r="AG269" s="6">
        <f>IF(AE269="","",MAX(0,AE269-AF269))</f>
        <v/>
      </c>
      <c r="AH269" s="6">
        <f>IF(S269="","",IF(OR(I269=0,V269="IGEN",W269="IGEN"),0,IF(AND(K269&lt;&gt;"IGEN",L269="IGEN",U269="NEM"),0,S269)))</f>
        <v/>
      </c>
      <c r="AI269" s="6">
        <f>IF(AH269="","",IF(M269="IGEN",MIN(AH269,AG269),AH269))</f>
        <v/>
      </c>
      <c r="AJ269" s="5" t="n"/>
    </row>
    <row r="270">
      <c r="A270" s="5" t="n"/>
      <c r="B270" s="5" t="n"/>
      <c r="C270" s="5" t="n"/>
      <c r="D270" s="5">
        <f>IF(AND(B270&lt;&gt;"",C270&lt;&gt;""),C270-B270+1,"")</f>
        <v/>
      </c>
      <c r="E270" s="5">
        <f>IF(B270&lt;&gt;"",YEAR(B270),"")</f>
        <v/>
      </c>
      <c r="F270" s="6" t="n"/>
      <c r="G270" s="6" t="n"/>
      <c r="H270" s="6" t="n"/>
      <c r="I270" s="5">
        <f>IF(H270="","",IFERROR(INDEX(Szabályok!$B$13:$B$200,MATCH(H270,Szabályok!$A$13:$A$200,0)),""))</f>
        <v/>
      </c>
      <c r="J270" s="5">
        <f>IF(H270="","",IFERROR(INDEX(Szabályok!$C$13:$C$200,MATCH(H270,Szabályok!$A$13:$A$200,0)),""))</f>
        <v/>
      </c>
      <c r="K270" s="5">
        <f>IF(H270="","",IFERROR(INDEX(Szabályok!$D$13:$D$200,MATCH(H270,Szabályok!$A$13:$A$200,0)),""))</f>
        <v/>
      </c>
      <c r="L270" s="5">
        <f>IF(H270="","",IFERROR(INDEX(Szabályok!$E$13:$E$200,MATCH(H270,Szabályok!$A$13:$A$200,0)),""))</f>
        <v/>
      </c>
      <c r="M270" s="5">
        <f>IF(H270="","",IFERROR(INDEX(Szabályok!$F$13:$F$200,MATCH(H270,Szabályok!$A$13:$A$200,0)),""))</f>
        <v/>
      </c>
      <c r="N270" s="5">
        <f>IF(H270="","",IFERROR(INDEX(Szabályok!$G$13:$G$200,MATCH(H270,Szabályok!$A$13:$A$200,0)),""))</f>
        <v/>
      </c>
      <c r="O270" s="5">
        <f>IF(H270="","",IFERROR(INDEX(Szabályok!$H$13:$H$200,MATCH(H270,Szabályok!$A$13:$A$200,0)),""))</f>
        <v/>
      </c>
      <c r="P270" s="5" t="n"/>
      <c r="Q270" s="6" t="n"/>
      <c r="R270" s="6" t="n"/>
      <c r="S270" s="6">
        <f>IF(COUNT(Q270:R270)=0,"",SUM(Q270:R270))</f>
        <v/>
      </c>
      <c r="T270" s="6" t="n"/>
      <c r="U270" s="5">
        <f>IF(T270="","",IF(L270&lt;&gt;"IGEN","IGEN",IF(S270&gt;=T270,"IGEN","NEM")))</f>
        <v/>
      </c>
      <c r="V270" s="5" t="n"/>
      <c r="W270" s="5" t="n"/>
      <c r="X270" s="5" t="n"/>
      <c r="Y270" s="5" t="n"/>
      <c r="Z270" s="5">
        <f>IF(X270="","",IF(COUNTIFS($X$5:$X$304,X270,$I$5:$I$304,"&lt;"&amp;I270)=0,I270,""))</f>
        <v/>
      </c>
      <c r="AA270" s="5">
        <f>IF(X270="","",IF(COUNTIFS($X$5:$X$304,X270,$I$5:$I$304,"&lt;"&amp;I270)&gt;0,"NEM",IF(COUNTIFS($X$5:$X$304,X270,$I$5:$I$304,I270)=1,"IGEN",IF(Y270=1,"IGEN","NEM"))))</f>
        <v/>
      </c>
      <c r="AB270" s="5">
        <f>IF(OR(I270="",J270=""),"",IF(OR(I270=0,V270="IGEN",W270="IGEN"),"X",IF(AND(K270&lt;&gt;"IGEN",L270="IGEN",U270="NEM"),"X",IF(AA270="IGEN",J270,"X"))))</f>
        <v/>
      </c>
      <c r="AC270" s="5">
        <f>IF(AB270="X",0,IF(D270="","",D270))</f>
        <v/>
      </c>
      <c r="AD270" s="5">
        <f>IF(AB270="X",IF(D270="","",D270),0)</f>
        <v/>
      </c>
      <c r="AE270" s="6" t="n"/>
      <c r="AF270" s="6">
        <f>IF(E270="","",SUMIFS($AI$5:AI270,$E$5:E270,E270)-AI270)</f>
        <v/>
      </c>
      <c r="AG270" s="6">
        <f>IF(AE270="","",MAX(0,AE270-AF270))</f>
        <v/>
      </c>
      <c r="AH270" s="6">
        <f>IF(S270="","",IF(OR(I270=0,V270="IGEN",W270="IGEN"),0,IF(AND(K270&lt;&gt;"IGEN",L270="IGEN",U270="NEM"),0,S270)))</f>
        <v/>
      </c>
      <c r="AI270" s="6">
        <f>IF(AH270="","",IF(M270="IGEN",MIN(AH270,AG270),AH270))</f>
        <v/>
      </c>
      <c r="AJ270" s="5" t="n"/>
    </row>
    <row r="271">
      <c r="A271" s="5" t="n"/>
      <c r="B271" s="5" t="n"/>
      <c r="C271" s="5" t="n"/>
      <c r="D271" s="5">
        <f>IF(AND(B271&lt;&gt;"",C271&lt;&gt;""),C271-B271+1,"")</f>
        <v/>
      </c>
      <c r="E271" s="5">
        <f>IF(B271&lt;&gt;"",YEAR(B271),"")</f>
        <v/>
      </c>
      <c r="F271" s="6" t="n"/>
      <c r="G271" s="6" t="n"/>
      <c r="H271" s="6" t="n"/>
      <c r="I271" s="5">
        <f>IF(H271="","",IFERROR(INDEX(Szabályok!$B$13:$B$200,MATCH(H271,Szabályok!$A$13:$A$200,0)),""))</f>
        <v/>
      </c>
      <c r="J271" s="5">
        <f>IF(H271="","",IFERROR(INDEX(Szabályok!$C$13:$C$200,MATCH(H271,Szabályok!$A$13:$A$200,0)),""))</f>
        <v/>
      </c>
      <c r="K271" s="5">
        <f>IF(H271="","",IFERROR(INDEX(Szabályok!$D$13:$D$200,MATCH(H271,Szabályok!$A$13:$A$200,0)),""))</f>
        <v/>
      </c>
      <c r="L271" s="5">
        <f>IF(H271="","",IFERROR(INDEX(Szabályok!$E$13:$E$200,MATCH(H271,Szabályok!$A$13:$A$200,0)),""))</f>
        <v/>
      </c>
      <c r="M271" s="5">
        <f>IF(H271="","",IFERROR(INDEX(Szabályok!$F$13:$F$200,MATCH(H271,Szabályok!$A$13:$A$200,0)),""))</f>
        <v/>
      </c>
      <c r="N271" s="5">
        <f>IF(H271="","",IFERROR(INDEX(Szabályok!$G$13:$G$200,MATCH(H271,Szabályok!$A$13:$A$200,0)),""))</f>
        <v/>
      </c>
      <c r="O271" s="5">
        <f>IF(H271="","",IFERROR(INDEX(Szabályok!$H$13:$H$200,MATCH(H271,Szabályok!$A$13:$A$200,0)),""))</f>
        <v/>
      </c>
      <c r="P271" s="5" t="n"/>
      <c r="Q271" s="6" t="n"/>
      <c r="R271" s="6" t="n"/>
      <c r="S271" s="6">
        <f>IF(COUNT(Q271:R271)=0,"",SUM(Q271:R271))</f>
        <v/>
      </c>
      <c r="T271" s="6" t="n"/>
      <c r="U271" s="5">
        <f>IF(T271="","",IF(L271&lt;&gt;"IGEN","IGEN",IF(S271&gt;=T271,"IGEN","NEM")))</f>
        <v/>
      </c>
      <c r="V271" s="5" t="n"/>
      <c r="W271" s="5" t="n"/>
      <c r="X271" s="5" t="n"/>
      <c r="Y271" s="5" t="n"/>
      <c r="Z271" s="5">
        <f>IF(X271="","",IF(COUNTIFS($X$5:$X$304,X271,$I$5:$I$304,"&lt;"&amp;I271)=0,I271,""))</f>
        <v/>
      </c>
      <c r="AA271" s="5">
        <f>IF(X271="","",IF(COUNTIFS($X$5:$X$304,X271,$I$5:$I$304,"&lt;"&amp;I271)&gt;0,"NEM",IF(COUNTIFS($X$5:$X$304,X271,$I$5:$I$304,I271)=1,"IGEN",IF(Y271=1,"IGEN","NEM"))))</f>
        <v/>
      </c>
      <c r="AB271" s="5">
        <f>IF(OR(I271="",J271=""),"",IF(OR(I271=0,V271="IGEN",W271="IGEN"),"X",IF(AND(K271&lt;&gt;"IGEN",L271="IGEN",U271="NEM"),"X",IF(AA271="IGEN",J271,"X"))))</f>
        <v/>
      </c>
      <c r="AC271" s="5">
        <f>IF(AB271="X",0,IF(D271="","",D271))</f>
        <v/>
      </c>
      <c r="AD271" s="5">
        <f>IF(AB271="X",IF(D271="","",D271),0)</f>
        <v/>
      </c>
      <c r="AE271" s="6" t="n"/>
      <c r="AF271" s="6">
        <f>IF(E271="","",SUMIFS($AI$5:AI271,$E$5:E271,E271)-AI271)</f>
        <v/>
      </c>
      <c r="AG271" s="6">
        <f>IF(AE271="","",MAX(0,AE271-AF271))</f>
        <v/>
      </c>
      <c r="AH271" s="6">
        <f>IF(S271="","",IF(OR(I271=0,V271="IGEN",W271="IGEN"),0,IF(AND(K271&lt;&gt;"IGEN",L271="IGEN",U271="NEM"),0,S271)))</f>
        <v/>
      </c>
      <c r="AI271" s="6">
        <f>IF(AH271="","",IF(M271="IGEN",MIN(AH271,AG271),AH271))</f>
        <v/>
      </c>
      <c r="AJ271" s="5" t="n"/>
    </row>
    <row r="272">
      <c r="A272" s="5" t="n"/>
      <c r="B272" s="5" t="n"/>
      <c r="C272" s="5" t="n"/>
      <c r="D272" s="5">
        <f>IF(AND(B272&lt;&gt;"",C272&lt;&gt;""),C272-B272+1,"")</f>
        <v/>
      </c>
      <c r="E272" s="5">
        <f>IF(B272&lt;&gt;"",YEAR(B272),"")</f>
        <v/>
      </c>
      <c r="F272" s="6" t="n"/>
      <c r="G272" s="6" t="n"/>
      <c r="H272" s="6" t="n"/>
      <c r="I272" s="5">
        <f>IF(H272="","",IFERROR(INDEX(Szabályok!$B$13:$B$200,MATCH(H272,Szabályok!$A$13:$A$200,0)),""))</f>
        <v/>
      </c>
      <c r="J272" s="5">
        <f>IF(H272="","",IFERROR(INDEX(Szabályok!$C$13:$C$200,MATCH(H272,Szabályok!$A$13:$A$200,0)),""))</f>
        <v/>
      </c>
      <c r="K272" s="5">
        <f>IF(H272="","",IFERROR(INDEX(Szabályok!$D$13:$D$200,MATCH(H272,Szabályok!$A$13:$A$200,0)),""))</f>
        <v/>
      </c>
      <c r="L272" s="5">
        <f>IF(H272="","",IFERROR(INDEX(Szabályok!$E$13:$E$200,MATCH(H272,Szabályok!$A$13:$A$200,0)),""))</f>
        <v/>
      </c>
      <c r="M272" s="5">
        <f>IF(H272="","",IFERROR(INDEX(Szabályok!$F$13:$F$200,MATCH(H272,Szabályok!$A$13:$A$200,0)),""))</f>
        <v/>
      </c>
      <c r="N272" s="5">
        <f>IF(H272="","",IFERROR(INDEX(Szabályok!$G$13:$G$200,MATCH(H272,Szabályok!$A$13:$A$200,0)),""))</f>
        <v/>
      </c>
      <c r="O272" s="5">
        <f>IF(H272="","",IFERROR(INDEX(Szabályok!$H$13:$H$200,MATCH(H272,Szabályok!$A$13:$A$200,0)),""))</f>
        <v/>
      </c>
      <c r="P272" s="5" t="n"/>
      <c r="Q272" s="6" t="n"/>
      <c r="R272" s="6" t="n"/>
      <c r="S272" s="6">
        <f>IF(COUNT(Q272:R272)=0,"",SUM(Q272:R272))</f>
        <v/>
      </c>
      <c r="T272" s="6" t="n"/>
      <c r="U272" s="5">
        <f>IF(T272="","",IF(L272&lt;&gt;"IGEN","IGEN",IF(S272&gt;=T272,"IGEN","NEM")))</f>
        <v/>
      </c>
      <c r="V272" s="5" t="n"/>
      <c r="W272" s="5" t="n"/>
      <c r="X272" s="5" t="n"/>
      <c r="Y272" s="5" t="n"/>
      <c r="Z272" s="5">
        <f>IF(X272="","",IF(COUNTIFS($X$5:$X$304,X272,$I$5:$I$304,"&lt;"&amp;I272)=0,I272,""))</f>
        <v/>
      </c>
      <c r="AA272" s="5">
        <f>IF(X272="","",IF(COUNTIFS($X$5:$X$304,X272,$I$5:$I$304,"&lt;"&amp;I272)&gt;0,"NEM",IF(COUNTIFS($X$5:$X$304,X272,$I$5:$I$304,I272)=1,"IGEN",IF(Y272=1,"IGEN","NEM"))))</f>
        <v/>
      </c>
      <c r="AB272" s="5">
        <f>IF(OR(I272="",J272=""),"",IF(OR(I272=0,V272="IGEN",W272="IGEN"),"X",IF(AND(K272&lt;&gt;"IGEN",L272="IGEN",U272="NEM"),"X",IF(AA272="IGEN",J272,"X"))))</f>
        <v/>
      </c>
      <c r="AC272" s="5">
        <f>IF(AB272="X",0,IF(D272="","",D272))</f>
        <v/>
      </c>
      <c r="AD272" s="5">
        <f>IF(AB272="X",IF(D272="","",D272),0)</f>
        <v/>
      </c>
      <c r="AE272" s="6" t="n"/>
      <c r="AF272" s="6">
        <f>IF(E272="","",SUMIFS($AI$5:AI272,$E$5:E272,E272)-AI272)</f>
        <v/>
      </c>
      <c r="AG272" s="6">
        <f>IF(AE272="","",MAX(0,AE272-AF272))</f>
        <v/>
      </c>
      <c r="AH272" s="6">
        <f>IF(S272="","",IF(OR(I272=0,V272="IGEN",W272="IGEN"),0,IF(AND(K272&lt;&gt;"IGEN",L272="IGEN",U272="NEM"),0,S272)))</f>
        <v/>
      </c>
      <c r="AI272" s="6">
        <f>IF(AH272="","",IF(M272="IGEN",MIN(AH272,AG272),AH272))</f>
        <v/>
      </c>
      <c r="AJ272" s="5" t="n"/>
    </row>
    <row r="273">
      <c r="A273" s="5" t="n"/>
      <c r="B273" s="5" t="n"/>
      <c r="C273" s="5" t="n"/>
      <c r="D273" s="5">
        <f>IF(AND(B273&lt;&gt;"",C273&lt;&gt;""),C273-B273+1,"")</f>
        <v/>
      </c>
      <c r="E273" s="5">
        <f>IF(B273&lt;&gt;"",YEAR(B273),"")</f>
        <v/>
      </c>
      <c r="F273" s="6" t="n"/>
      <c r="G273" s="6" t="n"/>
      <c r="H273" s="6" t="n"/>
      <c r="I273" s="5">
        <f>IF(H273="","",IFERROR(INDEX(Szabályok!$B$13:$B$200,MATCH(H273,Szabályok!$A$13:$A$200,0)),""))</f>
        <v/>
      </c>
      <c r="J273" s="5">
        <f>IF(H273="","",IFERROR(INDEX(Szabályok!$C$13:$C$200,MATCH(H273,Szabályok!$A$13:$A$200,0)),""))</f>
        <v/>
      </c>
      <c r="K273" s="5">
        <f>IF(H273="","",IFERROR(INDEX(Szabályok!$D$13:$D$200,MATCH(H273,Szabályok!$A$13:$A$200,0)),""))</f>
        <v/>
      </c>
      <c r="L273" s="5">
        <f>IF(H273="","",IFERROR(INDEX(Szabályok!$E$13:$E$200,MATCH(H273,Szabályok!$A$13:$A$200,0)),""))</f>
        <v/>
      </c>
      <c r="M273" s="5">
        <f>IF(H273="","",IFERROR(INDEX(Szabályok!$F$13:$F$200,MATCH(H273,Szabályok!$A$13:$A$200,0)),""))</f>
        <v/>
      </c>
      <c r="N273" s="5">
        <f>IF(H273="","",IFERROR(INDEX(Szabályok!$G$13:$G$200,MATCH(H273,Szabályok!$A$13:$A$200,0)),""))</f>
        <v/>
      </c>
      <c r="O273" s="5">
        <f>IF(H273="","",IFERROR(INDEX(Szabályok!$H$13:$H$200,MATCH(H273,Szabályok!$A$13:$A$200,0)),""))</f>
        <v/>
      </c>
      <c r="P273" s="5" t="n"/>
      <c r="Q273" s="6" t="n"/>
      <c r="R273" s="6" t="n"/>
      <c r="S273" s="6">
        <f>IF(COUNT(Q273:R273)=0,"",SUM(Q273:R273))</f>
        <v/>
      </c>
      <c r="T273" s="6" t="n"/>
      <c r="U273" s="5">
        <f>IF(T273="","",IF(L273&lt;&gt;"IGEN","IGEN",IF(S273&gt;=T273,"IGEN","NEM")))</f>
        <v/>
      </c>
      <c r="V273" s="5" t="n"/>
      <c r="W273" s="5" t="n"/>
      <c r="X273" s="5" t="n"/>
      <c r="Y273" s="5" t="n"/>
      <c r="Z273" s="5">
        <f>IF(X273="","",IF(COUNTIFS($X$5:$X$304,X273,$I$5:$I$304,"&lt;"&amp;I273)=0,I273,""))</f>
        <v/>
      </c>
      <c r="AA273" s="5">
        <f>IF(X273="","",IF(COUNTIFS($X$5:$X$304,X273,$I$5:$I$304,"&lt;"&amp;I273)&gt;0,"NEM",IF(COUNTIFS($X$5:$X$304,X273,$I$5:$I$304,I273)=1,"IGEN",IF(Y273=1,"IGEN","NEM"))))</f>
        <v/>
      </c>
      <c r="AB273" s="5">
        <f>IF(OR(I273="",J273=""),"",IF(OR(I273=0,V273="IGEN",W273="IGEN"),"X",IF(AND(K273&lt;&gt;"IGEN",L273="IGEN",U273="NEM"),"X",IF(AA273="IGEN",J273,"X"))))</f>
        <v/>
      </c>
      <c r="AC273" s="5">
        <f>IF(AB273="X",0,IF(D273="","",D273))</f>
        <v/>
      </c>
      <c r="AD273" s="5">
        <f>IF(AB273="X",IF(D273="","",D273),0)</f>
        <v/>
      </c>
      <c r="AE273" s="6" t="n"/>
      <c r="AF273" s="6">
        <f>IF(E273="","",SUMIFS($AI$5:AI273,$E$5:E273,E273)-AI273)</f>
        <v/>
      </c>
      <c r="AG273" s="6">
        <f>IF(AE273="","",MAX(0,AE273-AF273))</f>
        <v/>
      </c>
      <c r="AH273" s="6">
        <f>IF(S273="","",IF(OR(I273=0,V273="IGEN",W273="IGEN"),0,IF(AND(K273&lt;&gt;"IGEN",L273="IGEN",U273="NEM"),0,S273)))</f>
        <v/>
      </c>
      <c r="AI273" s="6">
        <f>IF(AH273="","",IF(M273="IGEN",MIN(AH273,AG273),AH273))</f>
        <v/>
      </c>
      <c r="AJ273" s="5" t="n"/>
    </row>
    <row r="274">
      <c r="A274" s="5" t="n"/>
      <c r="B274" s="5" t="n"/>
      <c r="C274" s="5" t="n"/>
      <c r="D274" s="5">
        <f>IF(AND(B274&lt;&gt;"",C274&lt;&gt;""),C274-B274+1,"")</f>
        <v/>
      </c>
      <c r="E274" s="5">
        <f>IF(B274&lt;&gt;"",YEAR(B274),"")</f>
        <v/>
      </c>
      <c r="F274" s="6" t="n"/>
      <c r="G274" s="6" t="n"/>
      <c r="H274" s="6" t="n"/>
      <c r="I274" s="5">
        <f>IF(H274="","",IFERROR(INDEX(Szabályok!$B$13:$B$200,MATCH(H274,Szabályok!$A$13:$A$200,0)),""))</f>
        <v/>
      </c>
      <c r="J274" s="5">
        <f>IF(H274="","",IFERROR(INDEX(Szabályok!$C$13:$C$200,MATCH(H274,Szabályok!$A$13:$A$200,0)),""))</f>
        <v/>
      </c>
      <c r="K274" s="5">
        <f>IF(H274="","",IFERROR(INDEX(Szabályok!$D$13:$D$200,MATCH(H274,Szabályok!$A$13:$A$200,0)),""))</f>
        <v/>
      </c>
      <c r="L274" s="5">
        <f>IF(H274="","",IFERROR(INDEX(Szabályok!$E$13:$E$200,MATCH(H274,Szabályok!$A$13:$A$200,0)),""))</f>
        <v/>
      </c>
      <c r="M274" s="5">
        <f>IF(H274="","",IFERROR(INDEX(Szabályok!$F$13:$F$200,MATCH(H274,Szabályok!$A$13:$A$200,0)),""))</f>
        <v/>
      </c>
      <c r="N274" s="5">
        <f>IF(H274="","",IFERROR(INDEX(Szabályok!$G$13:$G$200,MATCH(H274,Szabályok!$A$13:$A$200,0)),""))</f>
        <v/>
      </c>
      <c r="O274" s="5">
        <f>IF(H274="","",IFERROR(INDEX(Szabályok!$H$13:$H$200,MATCH(H274,Szabályok!$A$13:$A$200,0)),""))</f>
        <v/>
      </c>
      <c r="P274" s="5" t="n"/>
      <c r="Q274" s="6" t="n"/>
      <c r="R274" s="6" t="n"/>
      <c r="S274" s="6">
        <f>IF(COUNT(Q274:R274)=0,"",SUM(Q274:R274))</f>
        <v/>
      </c>
      <c r="T274" s="6" t="n"/>
      <c r="U274" s="5">
        <f>IF(T274="","",IF(L274&lt;&gt;"IGEN","IGEN",IF(S274&gt;=T274,"IGEN","NEM")))</f>
        <v/>
      </c>
      <c r="V274" s="5" t="n"/>
      <c r="W274" s="5" t="n"/>
      <c r="X274" s="5" t="n"/>
      <c r="Y274" s="5" t="n"/>
      <c r="Z274" s="5">
        <f>IF(X274="","",IF(COUNTIFS($X$5:$X$304,X274,$I$5:$I$304,"&lt;"&amp;I274)=0,I274,""))</f>
        <v/>
      </c>
      <c r="AA274" s="5">
        <f>IF(X274="","",IF(COUNTIFS($X$5:$X$304,X274,$I$5:$I$304,"&lt;"&amp;I274)&gt;0,"NEM",IF(COUNTIFS($X$5:$X$304,X274,$I$5:$I$304,I274)=1,"IGEN",IF(Y274=1,"IGEN","NEM"))))</f>
        <v/>
      </c>
      <c r="AB274" s="5">
        <f>IF(OR(I274="",J274=""),"",IF(OR(I274=0,V274="IGEN",W274="IGEN"),"X",IF(AND(K274&lt;&gt;"IGEN",L274="IGEN",U274="NEM"),"X",IF(AA274="IGEN",J274,"X"))))</f>
        <v/>
      </c>
      <c r="AC274" s="5">
        <f>IF(AB274="X",0,IF(D274="","",D274))</f>
        <v/>
      </c>
      <c r="AD274" s="5">
        <f>IF(AB274="X",IF(D274="","",D274),0)</f>
        <v/>
      </c>
      <c r="AE274" s="6" t="n"/>
      <c r="AF274" s="6">
        <f>IF(E274="","",SUMIFS($AI$5:AI274,$E$5:E274,E274)-AI274)</f>
        <v/>
      </c>
      <c r="AG274" s="6">
        <f>IF(AE274="","",MAX(0,AE274-AF274))</f>
        <v/>
      </c>
      <c r="AH274" s="6">
        <f>IF(S274="","",IF(OR(I274=0,V274="IGEN",W274="IGEN"),0,IF(AND(K274&lt;&gt;"IGEN",L274="IGEN",U274="NEM"),0,S274)))</f>
        <v/>
      </c>
      <c r="AI274" s="6">
        <f>IF(AH274="","",IF(M274="IGEN",MIN(AH274,AG274),AH274))</f>
        <v/>
      </c>
      <c r="AJ274" s="5" t="n"/>
    </row>
    <row r="275">
      <c r="A275" s="5" t="n"/>
      <c r="B275" s="5" t="n"/>
      <c r="C275" s="5" t="n"/>
      <c r="D275" s="5">
        <f>IF(AND(B275&lt;&gt;"",C275&lt;&gt;""),C275-B275+1,"")</f>
        <v/>
      </c>
      <c r="E275" s="5">
        <f>IF(B275&lt;&gt;"",YEAR(B275),"")</f>
        <v/>
      </c>
      <c r="F275" s="6" t="n"/>
      <c r="G275" s="6" t="n"/>
      <c r="H275" s="6" t="n"/>
      <c r="I275" s="5">
        <f>IF(H275="","",IFERROR(INDEX(Szabályok!$B$13:$B$200,MATCH(H275,Szabályok!$A$13:$A$200,0)),""))</f>
        <v/>
      </c>
      <c r="J275" s="5">
        <f>IF(H275="","",IFERROR(INDEX(Szabályok!$C$13:$C$200,MATCH(H275,Szabályok!$A$13:$A$200,0)),""))</f>
        <v/>
      </c>
      <c r="K275" s="5">
        <f>IF(H275="","",IFERROR(INDEX(Szabályok!$D$13:$D$200,MATCH(H275,Szabályok!$A$13:$A$200,0)),""))</f>
        <v/>
      </c>
      <c r="L275" s="5">
        <f>IF(H275="","",IFERROR(INDEX(Szabályok!$E$13:$E$200,MATCH(H275,Szabályok!$A$13:$A$200,0)),""))</f>
        <v/>
      </c>
      <c r="M275" s="5">
        <f>IF(H275="","",IFERROR(INDEX(Szabályok!$F$13:$F$200,MATCH(H275,Szabályok!$A$13:$A$200,0)),""))</f>
        <v/>
      </c>
      <c r="N275" s="5">
        <f>IF(H275="","",IFERROR(INDEX(Szabályok!$G$13:$G$200,MATCH(H275,Szabályok!$A$13:$A$200,0)),""))</f>
        <v/>
      </c>
      <c r="O275" s="5">
        <f>IF(H275="","",IFERROR(INDEX(Szabályok!$H$13:$H$200,MATCH(H275,Szabályok!$A$13:$A$200,0)),""))</f>
        <v/>
      </c>
      <c r="P275" s="5" t="n"/>
      <c r="Q275" s="6" t="n"/>
      <c r="R275" s="6" t="n"/>
      <c r="S275" s="6">
        <f>IF(COUNT(Q275:R275)=0,"",SUM(Q275:R275))</f>
        <v/>
      </c>
      <c r="T275" s="6" t="n"/>
      <c r="U275" s="5">
        <f>IF(T275="","",IF(L275&lt;&gt;"IGEN","IGEN",IF(S275&gt;=T275,"IGEN","NEM")))</f>
        <v/>
      </c>
      <c r="V275" s="5" t="n"/>
      <c r="W275" s="5" t="n"/>
      <c r="X275" s="5" t="n"/>
      <c r="Y275" s="5" t="n"/>
      <c r="Z275" s="5">
        <f>IF(X275="","",IF(COUNTIFS($X$5:$X$304,X275,$I$5:$I$304,"&lt;"&amp;I275)=0,I275,""))</f>
        <v/>
      </c>
      <c r="AA275" s="5">
        <f>IF(X275="","",IF(COUNTIFS($X$5:$X$304,X275,$I$5:$I$304,"&lt;"&amp;I275)&gt;0,"NEM",IF(COUNTIFS($X$5:$X$304,X275,$I$5:$I$304,I275)=1,"IGEN",IF(Y275=1,"IGEN","NEM"))))</f>
        <v/>
      </c>
      <c r="AB275" s="5">
        <f>IF(OR(I275="",J275=""),"",IF(OR(I275=0,V275="IGEN",W275="IGEN"),"X",IF(AND(K275&lt;&gt;"IGEN",L275="IGEN",U275="NEM"),"X",IF(AA275="IGEN",J275,"X"))))</f>
        <v/>
      </c>
      <c r="AC275" s="5">
        <f>IF(AB275="X",0,IF(D275="","",D275))</f>
        <v/>
      </c>
      <c r="AD275" s="5">
        <f>IF(AB275="X",IF(D275="","",D275),0)</f>
        <v/>
      </c>
      <c r="AE275" s="6" t="n"/>
      <c r="AF275" s="6">
        <f>IF(E275="","",SUMIFS($AI$5:AI275,$E$5:E275,E275)-AI275)</f>
        <v/>
      </c>
      <c r="AG275" s="6">
        <f>IF(AE275="","",MAX(0,AE275-AF275))</f>
        <v/>
      </c>
      <c r="AH275" s="6">
        <f>IF(S275="","",IF(OR(I275=0,V275="IGEN",W275="IGEN"),0,IF(AND(K275&lt;&gt;"IGEN",L275="IGEN",U275="NEM"),0,S275)))</f>
        <v/>
      </c>
      <c r="AI275" s="6">
        <f>IF(AH275="","",IF(M275="IGEN",MIN(AH275,AG275),AH275))</f>
        <v/>
      </c>
      <c r="AJ275" s="5" t="n"/>
    </row>
    <row r="276">
      <c r="A276" s="5" t="n"/>
      <c r="B276" s="5" t="n"/>
      <c r="C276" s="5" t="n"/>
      <c r="D276" s="5">
        <f>IF(AND(B276&lt;&gt;"",C276&lt;&gt;""),C276-B276+1,"")</f>
        <v/>
      </c>
      <c r="E276" s="5">
        <f>IF(B276&lt;&gt;"",YEAR(B276),"")</f>
        <v/>
      </c>
      <c r="F276" s="6" t="n"/>
      <c r="G276" s="6" t="n"/>
      <c r="H276" s="6" t="n"/>
      <c r="I276" s="5">
        <f>IF(H276="","",IFERROR(INDEX(Szabályok!$B$13:$B$200,MATCH(H276,Szabályok!$A$13:$A$200,0)),""))</f>
        <v/>
      </c>
      <c r="J276" s="5">
        <f>IF(H276="","",IFERROR(INDEX(Szabályok!$C$13:$C$200,MATCH(H276,Szabályok!$A$13:$A$200,0)),""))</f>
        <v/>
      </c>
      <c r="K276" s="5">
        <f>IF(H276="","",IFERROR(INDEX(Szabályok!$D$13:$D$200,MATCH(H276,Szabályok!$A$13:$A$200,0)),""))</f>
        <v/>
      </c>
      <c r="L276" s="5">
        <f>IF(H276="","",IFERROR(INDEX(Szabályok!$E$13:$E$200,MATCH(H276,Szabályok!$A$13:$A$200,0)),""))</f>
        <v/>
      </c>
      <c r="M276" s="5">
        <f>IF(H276="","",IFERROR(INDEX(Szabályok!$F$13:$F$200,MATCH(H276,Szabályok!$A$13:$A$200,0)),""))</f>
        <v/>
      </c>
      <c r="N276" s="5">
        <f>IF(H276="","",IFERROR(INDEX(Szabályok!$G$13:$G$200,MATCH(H276,Szabályok!$A$13:$A$200,0)),""))</f>
        <v/>
      </c>
      <c r="O276" s="5">
        <f>IF(H276="","",IFERROR(INDEX(Szabályok!$H$13:$H$200,MATCH(H276,Szabályok!$A$13:$A$200,0)),""))</f>
        <v/>
      </c>
      <c r="P276" s="5" t="n"/>
      <c r="Q276" s="6" t="n"/>
      <c r="R276" s="6" t="n"/>
      <c r="S276" s="6">
        <f>IF(COUNT(Q276:R276)=0,"",SUM(Q276:R276))</f>
        <v/>
      </c>
      <c r="T276" s="6" t="n"/>
      <c r="U276" s="5">
        <f>IF(T276="","",IF(L276&lt;&gt;"IGEN","IGEN",IF(S276&gt;=T276,"IGEN","NEM")))</f>
        <v/>
      </c>
      <c r="V276" s="5" t="n"/>
      <c r="W276" s="5" t="n"/>
      <c r="X276" s="5" t="n"/>
      <c r="Y276" s="5" t="n"/>
      <c r="Z276" s="5">
        <f>IF(X276="","",IF(COUNTIFS($X$5:$X$304,X276,$I$5:$I$304,"&lt;"&amp;I276)=0,I276,""))</f>
        <v/>
      </c>
      <c r="AA276" s="5">
        <f>IF(X276="","",IF(COUNTIFS($X$5:$X$304,X276,$I$5:$I$304,"&lt;"&amp;I276)&gt;0,"NEM",IF(COUNTIFS($X$5:$X$304,X276,$I$5:$I$304,I276)=1,"IGEN",IF(Y276=1,"IGEN","NEM"))))</f>
        <v/>
      </c>
      <c r="AB276" s="5">
        <f>IF(OR(I276="",J276=""),"",IF(OR(I276=0,V276="IGEN",W276="IGEN"),"X",IF(AND(K276&lt;&gt;"IGEN",L276="IGEN",U276="NEM"),"X",IF(AA276="IGEN",J276,"X"))))</f>
        <v/>
      </c>
      <c r="AC276" s="5">
        <f>IF(AB276="X",0,IF(D276="","",D276))</f>
        <v/>
      </c>
      <c r="AD276" s="5">
        <f>IF(AB276="X",IF(D276="","",D276),0)</f>
        <v/>
      </c>
      <c r="AE276" s="6" t="n"/>
      <c r="AF276" s="6">
        <f>IF(E276="","",SUMIFS($AI$5:AI276,$E$5:E276,E276)-AI276)</f>
        <v/>
      </c>
      <c r="AG276" s="6">
        <f>IF(AE276="","",MAX(0,AE276-AF276))</f>
        <v/>
      </c>
      <c r="AH276" s="6">
        <f>IF(S276="","",IF(OR(I276=0,V276="IGEN",W276="IGEN"),0,IF(AND(K276&lt;&gt;"IGEN",L276="IGEN",U276="NEM"),0,S276)))</f>
        <v/>
      </c>
      <c r="AI276" s="6">
        <f>IF(AH276="","",IF(M276="IGEN",MIN(AH276,AG276),AH276))</f>
        <v/>
      </c>
      <c r="AJ276" s="5" t="n"/>
    </row>
    <row r="277">
      <c r="A277" s="5" t="n"/>
      <c r="B277" s="5" t="n"/>
      <c r="C277" s="5" t="n"/>
      <c r="D277" s="5">
        <f>IF(AND(B277&lt;&gt;"",C277&lt;&gt;""),C277-B277+1,"")</f>
        <v/>
      </c>
      <c r="E277" s="5">
        <f>IF(B277&lt;&gt;"",YEAR(B277),"")</f>
        <v/>
      </c>
      <c r="F277" s="6" t="n"/>
      <c r="G277" s="6" t="n"/>
      <c r="H277" s="6" t="n"/>
      <c r="I277" s="5">
        <f>IF(H277="","",IFERROR(INDEX(Szabályok!$B$13:$B$200,MATCH(H277,Szabályok!$A$13:$A$200,0)),""))</f>
        <v/>
      </c>
      <c r="J277" s="5">
        <f>IF(H277="","",IFERROR(INDEX(Szabályok!$C$13:$C$200,MATCH(H277,Szabályok!$A$13:$A$200,0)),""))</f>
        <v/>
      </c>
      <c r="K277" s="5">
        <f>IF(H277="","",IFERROR(INDEX(Szabályok!$D$13:$D$200,MATCH(H277,Szabályok!$A$13:$A$200,0)),""))</f>
        <v/>
      </c>
      <c r="L277" s="5">
        <f>IF(H277="","",IFERROR(INDEX(Szabályok!$E$13:$E$200,MATCH(H277,Szabályok!$A$13:$A$200,0)),""))</f>
        <v/>
      </c>
      <c r="M277" s="5">
        <f>IF(H277="","",IFERROR(INDEX(Szabályok!$F$13:$F$200,MATCH(H277,Szabályok!$A$13:$A$200,0)),""))</f>
        <v/>
      </c>
      <c r="N277" s="5">
        <f>IF(H277="","",IFERROR(INDEX(Szabályok!$G$13:$G$200,MATCH(H277,Szabályok!$A$13:$A$200,0)),""))</f>
        <v/>
      </c>
      <c r="O277" s="5">
        <f>IF(H277="","",IFERROR(INDEX(Szabályok!$H$13:$H$200,MATCH(H277,Szabályok!$A$13:$A$200,0)),""))</f>
        <v/>
      </c>
      <c r="P277" s="5" t="n"/>
      <c r="Q277" s="6" t="n"/>
      <c r="R277" s="6" t="n"/>
      <c r="S277" s="6">
        <f>IF(COUNT(Q277:R277)=0,"",SUM(Q277:R277))</f>
        <v/>
      </c>
      <c r="T277" s="6" t="n"/>
      <c r="U277" s="5">
        <f>IF(T277="","",IF(L277&lt;&gt;"IGEN","IGEN",IF(S277&gt;=T277,"IGEN","NEM")))</f>
        <v/>
      </c>
      <c r="V277" s="5" t="n"/>
      <c r="W277" s="5" t="n"/>
      <c r="X277" s="5" t="n"/>
      <c r="Y277" s="5" t="n"/>
      <c r="Z277" s="5">
        <f>IF(X277="","",IF(COUNTIFS($X$5:$X$304,X277,$I$5:$I$304,"&lt;"&amp;I277)=0,I277,""))</f>
        <v/>
      </c>
      <c r="AA277" s="5">
        <f>IF(X277="","",IF(COUNTIFS($X$5:$X$304,X277,$I$5:$I$304,"&lt;"&amp;I277)&gt;0,"NEM",IF(COUNTIFS($X$5:$X$304,X277,$I$5:$I$304,I277)=1,"IGEN",IF(Y277=1,"IGEN","NEM"))))</f>
        <v/>
      </c>
      <c r="AB277" s="5">
        <f>IF(OR(I277="",J277=""),"",IF(OR(I277=0,V277="IGEN",W277="IGEN"),"X",IF(AND(K277&lt;&gt;"IGEN",L277="IGEN",U277="NEM"),"X",IF(AA277="IGEN",J277,"X"))))</f>
        <v/>
      </c>
      <c r="AC277" s="5">
        <f>IF(AB277="X",0,IF(D277="","",D277))</f>
        <v/>
      </c>
      <c r="AD277" s="5">
        <f>IF(AB277="X",IF(D277="","",D277),0)</f>
        <v/>
      </c>
      <c r="AE277" s="6" t="n"/>
      <c r="AF277" s="6">
        <f>IF(E277="","",SUMIFS($AI$5:AI277,$E$5:E277,E277)-AI277)</f>
        <v/>
      </c>
      <c r="AG277" s="6">
        <f>IF(AE277="","",MAX(0,AE277-AF277))</f>
        <v/>
      </c>
      <c r="AH277" s="6">
        <f>IF(S277="","",IF(OR(I277=0,V277="IGEN",W277="IGEN"),0,IF(AND(K277&lt;&gt;"IGEN",L277="IGEN",U277="NEM"),0,S277)))</f>
        <v/>
      </c>
      <c r="AI277" s="6">
        <f>IF(AH277="","",IF(M277="IGEN",MIN(AH277,AG277),AH277))</f>
        <v/>
      </c>
      <c r="AJ277" s="5" t="n"/>
    </row>
    <row r="278">
      <c r="A278" s="5" t="n"/>
      <c r="B278" s="5" t="n"/>
      <c r="C278" s="5" t="n"/>
      <c r="D278" s="5">
        <f>IF(AND(B278&lt;&gt;"",C278&lt;&gt;""),C278-B278+1,"")</f>
        <v/>
      </c>
      <c r="E278" s="5">
        <f>IF(B278&lt;&gt;"",YEAR(B278),"")</f>
        <v/>
      </c>
      <c r="F278" s="6" t="n"/>
      <c r="G278" s="6" t="n"/>
      <c r="H278" s="6" t="n"/>
      <c r="I278" s="5">
        <f>IF(H278="","",IFERROR(INDEX(Szabályok!$B$13:$B$200,MATCH(H278,Szabályok!$A$13:$A$200,0)),""))</f>
        <v/>
      </c>
      <c r="J278" s="5">
        <f>IF(H278="","",IFERROR(INDEX(Szabályok!$C$13:$C$200,MATCH(H278,Szabályok!$A$13:$A$200,0)),""))</f>
        <v/>
      </c>
      <c r="K278" s="5">
        <f>IF(H278="","",IFERROR(INDEX(Szabályok!$D$13:$D$200,MATCH(H278,Szabályok!$A$13:$A$200,0)),""))</f>
        <v/>
      </c>
      <c r="L278" s="5">
        <f>IF(H278="","",IFERROR(INDEX(Szabályok!$E$13:$E$200,MATCH(H278,Szabályok!$A$13:$A$200,0)),""))</f>
        <v/>
      </c>
      <c r="M278" s="5">
        <f>IF(H278="","",IFERROR(INDEX(Szabályok!$F$13:$F$200,MATCH(H278,Szabályok!$A$13:$A$200,0)),""))</f>
        <v/>
      </c>
      <c r="N278" s="5">
        <f>IF(H278="","",IFERROR(INDEX(Szabályok!$G$13:$G$200,MATCH(H278,Szabályok!$A$13:$A$200,0)),""))</f>
        <v/>
      </c>
      <c r="O278" s="5">
        <f>IF(H278="","",IFERROR(INDEX(Szabályok!$H$13:$H$200,MATCH(H278,Szabályok!$A$13:$A$200,0)),""))</f>
        <v/>
      </c>
      <c r="P278" s="5" t="n"/>
      <c r="Q278" s="6" t="n"/>
      <c r="R278" s="6" t="n"/>
      <c r="S278" s="6">
        <f>IF(COUNT(Q278:R278)=0,"",SUM(Q278:R278))</f>
        <v/>
      </c>
      <c r="T278" s="6" t="n"/>
      <c r="U278" s="5">
        <f>IF(T278="","",IF(L278&lt;&gt;"IGEN","IGEN",IF(S278&gt;=T278,"IGEN","NEM")))</f>
        <v/>
      </c>
      <c r="V278" s="5" t="n"/>
      <c r="W278" s="5" t="n"/>
      <c r="X278" s="5" t="n"/>
      <c r="Y278" s="5" t="n"/>
      <c r="Z278" s="5">
        <f>IF(X278="","",IF(COUNTIFS($X$5:$X$304,X278,$I$5:$I$304,"&lt;"&amp;I278)=0,I278,""))</f>
        <v/>
      </c>
      <c r="AA278" s="5">
        <f>IF(X278="","",IF(COUNTIFS($X$5:$X$304,X278,$I$5:$I$304,"&lt;"&amp;I278)&gt;0,"NEM",IF(COUNTIFS($X$5:$X$304,X278,$I$5:$I$304,I278)=1,"IGEN",IF(Y278=1,"IGEN","NEM"))))</f>
        <v/>
      </c>
      <c r="AB278" s="5">
        <f>IF(OR(I278="",J278=""),"",IF(OR(I278=0,V278="IGEN",W278="IGEN"),"X",IF(AND(K278&lt;&gt;"IGEN",L278="IGEN",U278="NEM"),"X",IF(AA278="IGEN",J278,"X"))))</f>
        <v/>
      </c>
      <c r="AC278" s="5">
        <f>IF(AB278="X",0,IF(D278="","",D278))</f>
        <v/>
      </c>
      <c r="AD278" s="5">
        <f>IF(AB278="X",IF(D278="","",D278),0)</f>
        <v/>
      </c>
      <c r="AE278" s="6" t="n"/>
      <c r="AF278" s="6">
        <f>IF(E278="","",SUMIFS($AI$5:AI278,$E$5:E278,E278)-AI278)</f>
        <v/>
      </c>
      <c r="AG278" s="6">
        <f>IF(AE278="","",MAX(0,AE278-AF278))</f>
        <v/>
      </c>
      <c r="AH278" s="6">
        <f>IF(S278="","",IF(OR(I278=0,V278="IGEN",W278="IGEN"),0,IF(AND(K278&lt;&gt;"IGEN",L278="IGEN",U278="NEM"),0,S278)))</f>
        <v/>
      </c>
      <c r="AI278" s="6">
        <f>IF(AH278="","",IF(M278="IGEN",MIN(AH278,AG278),AH278))</f>
        <v/>
      </c>
      <c r="AJ278" s="5" t="n"/>
    </row>
    <row r="279">
      <c r="A279" s="5" t="n"/>
      <c r="B279" s="5" t="n"/>
      <c r="C279" s="5" t="n"/>
      <c r="D279" s="5">
        <f>IF(AND(B279&lt;&gt;"",C279&lt;&gt;""),C279-B279+1,"")</f>
        <v/>
      </c>
      <c r="E279" s="5">
        <f>IF(B279&lt;&gt;"",YEAR(B279),"")</f>
        <v/>
      </c>
      <c r="F279" s="6" t="n"/>
      <c r="G279" s="6" t="n"/>
      <c r="H279" s="6" t="n"/>
      <c r="I279" s="5">
        <f>IF(H279="","",IFERROR(INDEX(Szabályok!$B$13:$B$200,MATCH(H279,Szabályok!$A$13:$A$200,0)),""))</f>
        <v/>
      </c>
      <c r="J279" s="5">
        <f>IF(H279="","",IFERROR(INDEX(Szabályok!$C$13:$C$200,MATCH(H279,Szabályok!$A$13:$A$200,0)),""))</f>
        <v/>
      </c>
      <c r="K279" s="5">
        <f>IF(H279="","",IFERROR(INDEX(Szabályok!$D$13:$D$200,MATCH(H279,Szabályok!$A$13:$A$200,0)),""))</f>
        <v/>
      </c>
      <c r="L279" s="5">
        <f>IF(H279="","",IFERROR(INDEX(Szabályok!$E$13:$E$200,MATCH(H279,Szabályok!$A$13:$A$200,0)),""))</f>
        <v/>
      </c>
      <c r="M279" s="5">
        <f>IF(H279="","",IFERROR(INDEX(Szabályok!$F$13:$F$200,MATCH(H279,Szabályok!$A$13:$A$200,0)),""))</f>
        <v/>
      </c>
      <c r="N279" s="5">
        <f>IF(H279="","",IFERROR(INDEX(Szabályok!$G$13:$G$200,MATCH(H279,Szabályok!$A$13:$A$200,0)),""))</f>
        <v/>
      </c>
      <c r="O279" s="5">
        <f>IF(H279="","",IFERROR(INDEX(Szabályok!$H$13:$H$200,MATCH(H279,Szabályok!$A$13:$A$200,0)),""))</f>
        <v/>
      </c>
      <c r="P279" s="5" t="n"/>
      <c r="Q279" s="6" t="n"/>
      <c r="R279" s="6" t="n"/>
      <c r="S279" s="6">
        <f>IF(COUNT(Q279:R279)=0,"",SUM(Q279:R279))</f>
        <v/>
      </c>
      <c r="T279" s="6" t="n"/>
      <c r="U279" s="5">
        <f>IF(T279="","",IF(L279&lt;&gt;"IGEN","IGEN",IF(S279&gt;=T279,"IGEN","NEM")))</f>
        <v/>
      </c>
      <c r="V279" s="5" t="n"/>
      <c r="W279" s="5" t="n"/>
      <c r="X279" s="5" t="n"/>
      <c r="Y279" s="5" t="n"/>
      <c r="Z279" s="5">
        <f>IF(X279="","",IF(COUNTIFS($X$5:$X$304,X279,$I$5:$I$304,"&lt;"&amp;I279)=0,I279,""))</f>
        <v/>
      </c>
      <c r="AA279" s="5">
        <f>IF(X279="","",IF(COUNTIFS($X$5:$X$304,X279,$I$5:$I$304,"&lt;"&amp;I279)&gt;0,"NEM",IF(COUNTIFS($X$5:$X$304,X279,$I$5:$I$304,I279)=1,"IGEN",IF(Y279=1,"IGEN","NEM"))))</f>
        <v/>
      </c>
      <c r="AB279" s="5">
        <f>IF(OR(I279="",J279=""),"",IF(OR(I279=0,V279="IGEN",W279="IGEN"),"X",IF(AND(K279&lt;&gt;"IGEN",L279="IGEN",U279="NEM"),"X",IF(AA279="IGEN",J279,"X"))))</f>
        <v/>
      </c>
      <c r="AC279" s="5">
        <f>IF(AB279="X",0,IF(D279="","",D279))</f>
        <v/>
      </c>
      <c r="AD279" s="5">
        <f>IF(AB279="X",IF(D279="","",D279),0)</f>
        <v/>
      </c>
      <c r="AE279" s="6" t="n"/>
      <c r="AF279" s="6">
        <f>IF(E279="","",SUMIFS($AI$5:AI279,$E$5:E279,E279)-AI279)</f>
        <v/>
      </c>
      <c r="AG279" s="6">
        <f>IF(AE279="","",MAX(0,AE279-AF279))</f>
        <v/>
      </c>
      <c r="AH279" s="6">
        <f>IF(S279="","",IF(OR(I279=0,V279="IGEN",W279="IGEN"),0,IF(AND(K279&lt;&gt;"IGEN",L279="IGEN",U279="NEM"),0,S279)))</f>
        <v/>
      </c>
      <c r="AI279" s="6">
        <f>IF(AH279="","",IF(M279="IGEN",MIN(AH279,AG279),AH279))</f>
        <v/>
      </c>
      <c r="AJ279" s="5" t="n"/>
    </row>
    <row r="280">
      <c r="A280" s="5" t="n"/>
      <c r="B280" s="5" t="n"/>
      <c r="C280" s="5" t="n"/>
      <c r="D280" s="5">
        <f>IF(AND(B280&lt;&gt;"",C280&lt;&gt;""),C280-B280+1,"")</f>
        <v/>
      </c>
      <c r="E280" s="5">
        <f>IF(B280&lt;&gt;"",YEAR(B280),"")</f>
        <v/>
      </c>
      <c r="F280" s="6" t="n"/>
      <c r="G280" s="6" t="n"/>
      <c r="H280" s="6" t="n"/>
      <c r="I280" s="5">
        <f>IF(H280="","",IFERROR(INDEX(Szabályok!$B$13:$B$200,MATCH(H280,Szabályok!$A$13:$A$200,0)),""))</f>
        <v/>
      </c>
      <c r="J280" s="5">
        <f>IF(H280="","",IFERROR(INDEX(Szabályok!$C$13:$C$200,MATCH(H280,Szabályok!$A$13:$A$200,0)),""))</f>
        <v/>
      </c>
      <c r="K280" s="5">
        <f>IF(H280="","",IFERROR(INDEX(Szabályok!$D$13:$D$200,MATCH(H280,Szabályok!$A$13:$A$200,0)),""))</f>
        <v/>
      </c>
      <c r="L280" s="5">
        <f>IF(H280="","",IFERROR(INDEX(Szabályok!$E$13:$E$200,MATCH(H280,Szabályok!$A$13:$A$200,0)),""))</f>
        <v/>
      </c>
      <c r="M280" s="5">
        <f>IF(H280="","",IFERROR(INDEX(Szabályok!$F$13:$F$200,MATCH(H280,Szabályok!$A$13:$A$200,0)),""))</f>
        <v/>
      </c>
      <c r="N280" s="5">
        <f>IF(H280="","",IFERROR(INDEX(Szabályok!$G$13:$G$200,MATCH(H280,Szabályok!$A$13:$A$200,0)),""))</f>
        <v/>
      </c>
      <c r="O280" s="5">
        <f>IF(H280="","",IFERROR(INDEX(Szabályok!$H$13:$H$200,MATCH(H280,Szabályok!$A$13:$A$200,0)),""))</f>
        <v/>
      </c>
      <c r="P280" s="5" t="n"/>
      <c r="Q280" s="6" t="n"/>
      <c r="R280" s="6" t="n"/>
      <c r="S280" s="6">
        <f>IF(COUNT(Q280:R280)=0,"",SUM(Q280:R280))</f>
        <v/>
      </c>
      <c r="T280" s="6" t="n"/>
      <c r="U280" s="5">
        <f>IF(T280="","",IF(L280&lt;&gt;"IGEN","IGEN",IF(S280&gt;=T280,"IGEN","NEM")))</f>
        <v/>
      </c>
      <c r="V280" s="5" t="n"/>
      <c r="W280" s="5" t="n"/>
      <c r="X280" s="5" t="n"/>
      <c r="Y280" s="5" t="n"/>
      <c r="Z280" s="5">
        <f>IF(X280="","",IF(COUNTIFS($X$5:$X$304,X280,$I$5:$I$304,"&lt;"&amp;I280)=0,I280,""))</f>
        <v/>
      </c>
      <c r="AA280" s="5">
        <f>IF(X280="","",IF(COUNTIFS($X$5:$X$304,X280,$I$5:$I$304,"&lt;"&amp;I280)&gt;0,"NEM",IF(COUNTIFS($X$5:$X$304,X280,$I$5:$I$304,I280)=1,"IGEN",IF(Y280=1,"IGEN","NEM"))))</f>
        <v/>
      </c>
      <c r="AB280" s="5">
        <f>IF(OR(I280="",J280=""),"",IF(OR(I280=0,V280="IGEN",W280="IGEN"),"X",IF(AND(K280&lt;&gt;"IGEN",L280="IGEN",U280="NEM"),"X",IF(AA280="IGEN",J280,"X"))))</f>
        <v/>
      </c>
      <c r="AC280" s="5">
        <f>IF(AB280="X",0,IF(D280="","",D280))</f>
        <v/>
      </c>
      <c r="AD280" s="5">
        <f>IF(AB280="X",IF(D280="","",D280),0)</f>
        <v/>
      </c>
      <c r="AE280" s="6" t="n"/>
      <c r="AF280" s="6">
        <f>IF(E280="","",SUMIFS($AI$5:AI280,$E$5:E280,E280)-AI280)</f>
        <v/>
      </c>
      <c r="AG280" s="6">
        <f>IF(AE280="","",MAX(0,AE280-AF280))</f>
        <v/>
      </c>
      <c r="AH280" s="6">
        <f>IF(S280="","",IF(OR(I280=0,V280="IGEN",W280="IGEN"),0,IF(AND(K280&lt;&gt;"IGEN",L280="IGEN",U280="NEM"),0,S280)))</f>
        <v/>
      </c>
      <c r="AI280" s="6">
        <f>IF(AH280="","",IF(M280="IGEN",MIN(AH280,AG280),AH280))</f>
        <v/>
      </c>
      <c r="AJ280" s="5" t="n"/>
    </row>
    <row r="281">
      <c r="A281" s="5" t="n"/>
      <c r="B281" s="5" t="n"/>
      <c r="C281" s="5" t="n"/>
      <c r="D281" s="5">
        <f>IF(AND(B281&lt;&gt;"",C281&lt;&gt;""),C281-B281+1,"")</f>
        <v/>
      </c>
      <c r="E281" s="5">
        <f>IF(B281&lt;&gt;"",YEAR(B281),"")</f>
        <v/>
      </c>
      <c r="F281" s="6" t="n"/>
      <c r="G281" s="6" t="n"/>
      <c r="H281" s="6" t="n"/>
      <c r="I281" s="5">
        <f>IF(H281="","",IFERROR(INDEX(Szabályok!$B$13:$B$200,MATCH(H281,Szabályok!$A$13:$A$200,0)),""))</f>
        <v/>
      </c>
      <c r="J281" s="5">
        <f>IF(H281="","",IFERROR(INDEX(Szabályok!$C$13:$C$200,MATCH(H281,Szabályok!$A$13:$A$200,0)),""))</f>
        <v/>
      </c>
      <c r="K281" s="5">
        <f>IF(H281="","",IFERROR(INDEX(Szabályok!$D$13:$D$200,MATCH(H281,Szabályok!$A$13:$A$200,0)),""))</f>
        <v/>
      </c>
      <c r="L281" s="5">
        <f>IF(H281="","",IFERROR(INDEX(Szabályok!$E$13:$E$200,MATCH(H281,Szabályok!$A$13:$A$200,0)),""))</f>
        <v/>
      </c>
      <c r="M281" s="5">
        <f>IF(H281="","",IFERROR(INDEX(Szabályok!$F$13:$F$200,MATCH(H281,Szabályok!$A$13:$A$200,0)),""))</f>
        <v/>
      </c>
      <c r="N281" s="5">
        <f>IF(H281="","",IFERROR(INDEX(Szabályok!$G$13:$G$200,MATCH(H281,Szabályok!$A$13:$A$200,0)),""))</f>
        <v/>
      </c>
      <c r="O281" s="5">
        <f>IF(H281="","",IFERROR(INDEX(Szabályok!$H$13:$H$200,MATCH(H281,Szabályok!$A$13:$A$200,0)),""))</f>
        <v/>
      </c>
      <c r="P281" s="5" t="n"/>
      <c r="Q281" s="6" t="n"/>
      <c r="R281" s="6" t="n"/>
      <c r="S281" s="6">
        <f>IF(COUNT(Q281:R281)=0,"",SUM(Q281:R281))</f>
        <v/>
      </c>
      <c r="T281" s="6" t="n"/>
      <c r="U281" s="5">
        <f>IF(T281="","",IF(L281&lt;&gt;"IGEN","IGEN",IF(S281&gt;=T281,"IGEN","NEM")))</f>
        <v/>
      </c>
      <c r="V281" s="5" t="n"/>
      <c r="W281" s="5" t="n"/>
      <c r="X281" s="5" t="n"/>
      <c r="Y281" s="5" t="n"/>
      <c r="Z281" s="5">
        <f>IF(X281="","",IF(COUNTIFS($X$5:$X$304,X281,$I$5:$I$304,"&lt;"&amp;I281)=0,I281,""))</f>
        <v/>
      </c>
      <c r="AA281" s="5">
        <f>IF(X281="","",IF(COUNTIFS($X$5:$X$304,X281,$I$5:$I$304,"&lt;"&amp;I281)&gt;0,"NEM",IF(COUNTIFS($X$5:$X$304,X281,$I$5:$I$304,I281)=1,"IGEN",IF(Y281=1,"IGEN","NEM"))))</f>
        <v/>
      </c>
      <c r="AB281" s="5">
        <f>IF(OR(I281="",J281=""),"",IF(OR(I281=0,V281="IGEN",W281="IGEN"),"X",IF(AND(K281&lt;&gt;"IGEN",L281="IGEN",U281="NEM"),"X",IF(AA281="IGEN",J281,"X"))))</f>
        <v/>
      </c>
      <c r="AC281" s="5">
        <f>IF(AB281="X",0,IF(D281="","",D281))</f>
        <v/>
      </c>
      <c r="AD281" s="5">
        <f>IF(AB281="X",IF(D281="","",D281),0)</f>
        <v/>
      </c>
      <c r="AE281" s="6" t="n"/>
      <c r="AF281" s="6">
        <f>IF(E281="","",SUMIFS($AI$5:AI281,$E$5:E281,E281)-AI281)</f>
        <v/>
      </c>
      <c r="AG281" s="6">
        <f>IF(AE281="","",MAX(0,AE281-AF281))</f>
        <v/>
      </c>
      <c r="AH281" s="6">
        <f>IF(S281="","",IF(OR(I281=0,V281="IGEN",W281="IGEN"),0,IF(AND(K281&lt;&gt;"IGEN",L281="IGEN",U281="NEM"),0,S281)))</f>
        <v/>
      </c>
      <c r="AI281" s="6">
        <f>IF(AH281="","",IF(M281="IGEN",MIN(AH281,AG281),AH281))</f>
        <v/>
      </c>
      <c r="AJ281" s="5" t="n"/>
    </row>
    <row r="282">
      <c r="A282" s="5" t="n"/>
      <c r="B282" s="5" t="n"/>
      <c r="C282" s="5" t="n"/>
      <c r="D282" s="5">
        <f>IF(AND(B282&lt;&gt;"",C282&lt;&gt;""),C282-B282+1,"")</f>
        <v/>
      </c>
      <c r="E282" s="5">
        <f>IF(B282&lt;&gt;"",YEAR(B282),"")</f>
        <v/>
      </c>
      <c r="F282" s="6" t="n"/>
      <c r="G282" s="6" t="n"/>
      <c r="H282" s="6" t="n"/>
      <c r="I282" s="5">
        <f>IF(H282="","",IFERROR(INDEX(Szabályok!$B$13:$B$200,MATCH(H282,Szabályok!$A$13:$A$200,0)),""))</f>
        <v/>
      </c>
      <c r="J282" s="5">
        <f>IF(H282="","",IFERROR(INDEX(Szabályok!$C$13:$C$200,MATCH(H282,Szabályok!$A$13:$A$200,0)),""))</f>
        <v/>
      </c>
      <c r="K282" s="5">
        <f>IF(H282="","",IFERROR(INDEX(Szabályok!$D$13:$D$200,MATCH(H282,Szabályok!$A$13:$A$200,0)),""))</f>
        <v/>
      </c>
      <c r="L282" s="5">
        <f>IF(H282="","",IFERROR(INDEX(Szabályok!$E$13:$E$200,MATCH(H282,Szabályok!$A$13:$A$200,0)),""))</f>
        <v/>
      </c>
      <c r="M282" s="5">
        <f>IF(H282="","",IFERROR(INDEX(Szabályok!$F$13:$F$200,MATCH(H282,Szabályok!$A$13:$A$200,0)),""))</f>
        <v/>
      </c>
      <c r="N282" s="5">
        <f>IF(H282="","",IFERROR(INDEX(Szabályok!$G$13:$G$200,MATCH(H282,Szabályok!$A$13:$A$200,0)),""))</f>
        <v/>
      </c>
      <c r="O282" s="5">
        <f>IF(H282="","",IFERROR(INDEX(Szabályok!$H$13:$H$200,MATCH(H282,Szabályok!$A$13:$A$200,0)),""))</f>
        <v/>
      </c>
      <c r="P282" s="5" t="n"/>
      <c r="Q282" s="6" t="n"/>
      <c r="R282" s="6" t="n"/>
      <c r="S282" s="6">
        <f>IF(COUNT(Q282:R282)=0,"",SUM(Q282:R282))</f>
        <v/>
      </c>
      <c r="T282" s="6" t="n"/>
      <c r="U282" s="5">
        <f>IF(T282="","",IF(L282&lt;&gt;"IGEN","IGEN",IF(S282&gt;=T282,"IGEN","NEM")))</f>
        <v/>
      </c>
      <c r="V282" s="5" t="n"/>
      <c r="W282" s="5" t="n"/>
      <c r="X282" s="5" t="n"/>
      <c r="Y282" s="5" t="n"/>
      <c r="Z282" s="5">
        <f>IF(X282="","",IF(COUNTIFS($X$5:$X$304,X282,$I$5:$I$304,"&lt;"&amp;I282)=0,I282,""))</f>
        <v/>
      </c>
      <c r="AA282" s="5">
        <f>IF(X282="","",IF(COUNTIFS($X$5:$X$304,X282,$I$5:$I$304,"&lt;"&amp;I282)&gt;0,"NEM",IF(COUNTIFS($X$5:$X$304,X282,$I$5:$I$304,I282)=1,"IGEN",IF(Y282=1,"IGEN","NEM"))))</f>
        <v/>
      </c>
      <c r="AB282" s="5">
        <f>IF(OR(I282="",J282=""),"",IF(OR(I282=0,V282="IGEN",W282="IGEN"),"X",IF(AND(K282&lt;&gt;"IGEN",L282="IGEN",U282="NEM"),"X",IF(AA282="IGEN",J282,"X"))))</f>
        <v/>
      </c>
      <c r="AC282" s="5">
        <f>IF(AB282="X",0,IF(D282="","",D282))</f>
        <v/>
      </c>
      <c r="AD282" s="5">
        <f>IF(AB282="X",IF(D282="","",D282),0)</f>
        <v/>
      </c>
      <c r="AE282" s="6" t="n"/>
      <c r="AF282" s="6">
        <f>IF(E282="","",SUMIFS($AI$5:AI282,$E$5:E282,E282)-AI282)</f>
        <v/>
      </c>
      <c r="AG282" s="6">
        <f>IF(AE282="","",MAX(0,AE282-AF282))</f>
        <v/>
      </c>
      <c r="AH282" s="6">
        <f>IF(S282="","",IF(OR(I282=0,V282="IGEN",W282="IGEN"),0,IF(AND(K282&lt;&gt;"IGEN",L282="IGEN",U282="NEM"),0,S282)))</f>
        <v/>
      </c>
      <c r="AI282" s="6">
        <f>IF(AH282="","",IF(M282="IGEN",MIN(AH282,AG282),AH282))</f>
        <v/>
      </c>
      <c r="AJ282" s="5" t="n"/>
    </row>
    <row r="283">
      <c r="A283" s="5" t="n"/>
      <c r="B283" s="5" t="n"/>
      <c r="C283" s="5" t="n"/>
      <c r="D283" s="5">
        <f>IF(AND(B283&lt;&gt;"",C283&lt;&gt;""),C283-B283+1,"")</f>
        <v/>
      </c>
      <c r="E283" s="5">
        <f>IF(B283&lt;&gt;"",YEAR(B283),"")</f>
        <v/>
      </c>
      <c r="F283" s="6" t="n"/>
      <c r="G283" s="6" t="n"/>
      <c r="H283" s="6" t="n"/>
      <c r="I283" s="5">
        <f>IF(H283="","",IFERROR(INDEX(Szabályok!$B$13:$B$200,MATCH(H283,Szabályok!$A$13:$A$200,0)),""))</f>
        <v/>
      </c>
      <c r="J283" s="5">
        <f>IF(H283="","",IFERROR(INDEX(Szabályok!$C$13:$C$200,MATCH(H283,Szabályok!$A$13:$A$200,0)),""))</f>
        <v/>
      </c>
      <c r="K283" s="5">
        <f>IF(H283="","",IFERROR(INDEX(Szabályok!$D$13:$D$200,MATCH(H283,Szabályok!$A$13:$A$200,0)),""))</f>
        <v/>
      </c>
      <c r="L283" s="5">
        <f>IF(H283="","",IFERROR(INDEX(Szabályok!$E$13:$E$200,MATCH(H283,Szabályok!$A$13:$A$200,0)),""))</f>
        <v/>
      </c>
      <c r="M283" s="5">
        <f>IF(H283="","",IFERROR(INDEX(Szabályok!$F$13:$F$200,MATCH(H283,Szabályok!$A$13:$A$200,0)),""))</f>
        <v/>
      </c>
      <c r="N283" s="5">
        <f>IF(H283="","",IFERROR(INDEX(Szabályok!$G$13:$G$200,MATCH(H283,Szabályok!$A$13:$A$200,0)),""))</f>
        <v/>
      </c>
      <c r="O283" s="5">
        <f>IF(H283="","",IFERROR(INDEX(Szabályok!$H$13:$H$200,MATCH(H283,Szabályok!$A$13:$A$200,0)),""))</f>
        <v/>
      </c>
      <c r="P283" s="5" t="n"/>
      <c r="Q283" s="6" t="n"/>
      <c r="R283" s="6" t="n"/>
      <c r="S283" s="6">
        <f>IF(COUNT(Q283:R283)=0,"",SUM(Q283:R283))</f>
        <v/>
      </c>
      <c r="T283" s="6" t="n"/>
      <c r="U283" s="5">
        <f>IF(T283="","",IF(L283&lt;&gt;"IGEN","IGEN",IF(S283&gt;=T283,"IGEN","NEM")))</f>
        <v/>
      </c>
      <c r="V283" s="5" t="n"/>
      <c r="W283" s="5" t="n"/>
      <c r="X283" s="5" t="n"/>
      <c r="Y283" s="5" t="n"/>
      <c r="Z283" s="5">
        <f>IF(X283="","",IF(COUNTIFS($X$5:$X$304,X283,$I$5:$I$304,"&lt;"&amp;I283)=0,I283,""))</f>
        <v/>
      </c>
      <c r="AA283" s="5">
        <f>IF(X283="","",IF(COUNTIFS($X$5:$X$304,X283,$I$5:$I$304,"&lt;"&amp;I283)&gt;0,"NEM",IF(COUNTIFS($X$5:$X$304,X283,$I$5:$I$304,I283)=1,"IGEN",IF(Y283=1,"IGEN","NEM"))))</f>
        <v/>
      </c>
      <c r="AB283" s="5">
        <f>IF(OR(I283="",J283=""),"",IF(OR(I283=0,V283="IGEN",W283="IGEN"),"X",IF(AND(K283&lt;&gt;"IGEN",L283="IGEN",U283="NEM"),"X",IF(AA283="IGEN",J283,"X"))))</f>
        <v/>
      </c>
      <c r="AC283" s="5">
        <f>IF(AB283="X",0,IF(D283="","",D283))</f>
        <v/>
      </c>
      <c r="AD283" s="5">
        <f>IF(AB283="X",IF(D283="","",D283),0)</f>
        <v/>
      </c>
      <c r="AE283" s="6" t="n"/>
      <c r="AF283" s="6">
        <f>IF(E283="","",SUMIFS($AI$5:AI283,$E$5:E283,E283)-AI283)</f>
        <v/>
      </c>
      <c r="AG283" s="6">
        <f>IF(AE283="","",MAX(0,AE283-AF283))</f>
        <v/>
      </c>
      <c r="AH283" s="6">
        <f>IF(S283="","",IF(OR(I283=0,V283="IGEN",W283="IGEN"),0,IF(AND(K283&lt;&gt;"IGEN",L283="IGEN",U283="NEM"),0,S283)))</f>
        <v/>
      </c>
      <c r="AI283" s="6">
        <f>IF(AH283="","",IF(M283="IGEN",MIN(AH283,AG283),AH283))</f>
        <v/>
      </c>
      <c r="AJ283" s="5" t="n"/>
    </row>
    <row r="284">
      <c r="A284" s="5" t="n"/>
      <c r="B284" s="5" t="n"/>
      <c r="C284" s="5" t="n"/>
      <c r="D284" s="5">
        <f>IF(AND(B284&lt;&gt;"",C284&lt;&gt;""),C284-B284+1,"")</f>
        <v/>
      </c>
      <c r="E284" s="5">
        <f>IF(B284&lt;&gt;"",YEAR(B284),"")</f>
        <v/>
      </c>
      <c r="F284" s="6" t="n"/>
      <c r="G284" s="6" t="n"/>
      <c r="H284" s="6" t="n"/>
      <c r="I284" s="5">
        <f>IF(H284="","",IFERROR(INDEX(Szabályok!$B$13:$B$200,MATCH(H284,Szabályok!$A$13:$A$200,0)),""))</f>
        <v/>
      </c>
      <c r="J284" s="5">
        <f>IF(H284="","",IFERROR(INDEX(Szabályok!$C$13:$C$200,MATCH(H284,Szabályok!$A$13:$A$200,0)),""))</f>
        <v/>
      </c>
      <c r="K284" s="5">
        <f>IF(H284="","",IFERROR(INDEX(Szabályok!$D$13:$D$200,MATCH(H284,Szabályok!$A$13:$A$200,0)),""))</f>
        <v/>
      </c>
      <c r="L284" s="5">
        <f>IF(H284="","",IFERROR(INDEX(Szabályok!$E$13:$E$200,MATCH(H284,Szabályok!$A$13:$A$200,0)),""))</f>
        <v/>
      </c>
      <c r="M284" s="5">
        <f>IF(H284="","",IFERROR(INDEX(Szabályok!$F$13:$F$200,MATCH(H284,Szabályok!$A$13:$A$200,0)),""))</f>
        <v/>
      </c>
      <c r="N284" s="5">
        <f>IF(H284="","",IFERROR(INDEX(Szabályok!$G$13:$G$200,MATCH(H284,Szabályok!$A$13:$A$200,0)),""))</f>
        <v/>
      </c>
      <c r="O284" s="5">
        <f>IF(H284="","",IFERROR(INDEX(Szabályok!$H$13:$H$200,MATCH(H284,Szabályok!$A$13:$A$200,0)),""))</f>
        <v/>
      </c>
      <c r="P284" s="5" t="n"/>
      <c r="Q284" s="6" t="n"/>
      <c r="R284" s="6" t="n"/>
      <c r="S284" s="6">
        <f>IF(COUNT(Q284:R284)=0,"",SUM(Q284:R284))</f>
        <v/>
      </c>
      <c r="T284" s="6" t="n"/>
      <c r="U284" s="5">
        <f>IF(T284="","",IF(L284&lt;&gt;"IGEN","IGEN",IF(S284&gt;=T284,"IGEN","NEM")))</f>
        <v/>
      </c>
      <c r="V284" s="5" t="n"/>
      <c r="W284" s="5" t="n"/>
      <c r="X284" s="5" t="n"/>
      <c r="Y284" s="5" t="n"/>
      <c r="Z284" s="5">
        <f>IF(X284="","",IF(COUNTIFS($X$5:$X$304,X284,$I$5:$I$304,"&lt;"&amp;I284)=0,I284,""))</f>
        <v/>
      </c>
      <c r="AA284" s="5">
        <f>IF(X284="","",IF(COUNTIFS($X$5:$X$304,X284,$I$5:$I$304,"&lt;"&amp;I284)&gt;0,"NEM",IF(COUNTIFS($X$5:$X$304,X284,$I$5:$I$304,I284)=1,"IGEN",IF(Y284=1,"IGEN","NEM"))))</f>
        <v/>
      </c>
      <c r="AB284" s="5">
        <f>IF(OR(I284="",J284=""),"",IF(OR(I284=0,V284="IGEN",W284="IGEN"),"X",IF(AND(K284&lt;&gt;"IGEN",L284="IGEN",U284="NEM"),"X",IF(AA284="IGEN",J284,"X"))))</f>
        <v/>
      </c>
      <c r="AC284" s="5">
        <f>IF(AB284="X",0,IF(D284="","",D284))</f>
        <v/>
      </c>
      <c r="AD284" s="5">
        <f>IF(AB284="X",IF(D284="","",D284),0)</f>
        <v/>
      </c>
      <c r="AE284" s="6" t="n"/>
      <c r="AF284" s="6">
        <f>IF(E284="","",SUMIFS($AI$5:AI284,$E$5:E284,E284)-AI284)</f>
        <v/>
      </c>
      <c r="AG284" s="6">
        <f>IF(AE284="","",MAX(0,AE284-AF284))</f>
        <v/>
      </c>
      <c r="AH284" s="6">
        <f>IF(S284="","",IF(OR(I284=0,V284="IGEN",W284="IGEN"),0,IF(AND(K284&lt;&gt;"IGEN",L284="IGEN",U284="NEM"),0,S284)))</f>
        <v/>
      </c>
      <c r="AI284" s="6">
        <f>IF(AH284="","",IF(M284="IGEN",MIN(AH284,AG284),AH284))</f>
        <v/>
      </c>
      <c r="AJ284" s="5" t="n"/>
    </row>
    <row r="285">
      <c r="A285" s="5" t="n"/>
      <c r="B285" s="5" t="n"/>
      <c r="C285" s="5" t="n"/>
      <c r="D285" s="5">
        <f>IF(AND(B285&lt;&gt;"",C285&lt;&gt;""),C285-B285+1,"")</f>
        <v/>
      </c>
      <c r="E285" s="5">
        <f>IF(B285&lt;&gt;"",YEAR(B285),"")</f>
        <v/>
      </c>
      <c r="F285" s="6" t="n"/>
      <c r="G285" s="6" t="n"/>
      <c r="H285" s="6" t="n"/>
      <c r="I285" s="5">
        <f>IF(H285="","",IFERROR(INDEX(Szabályok!$B$13:$B$200,MATCH(H285,Szabályok!$A$13:$A$200,0)),""))</f>
        <v/>
      </c>
      <c r="J285" s="5">
        <f>IF(H285="","",IFERROR(INDEX(Szabályok!$C$13:$C$200,MATCH(H285,Szabályok!$A$13:$A$200,0)),""))</f>
        <v/>
      </c>
      <c r="K285" s="5">
        <f>IF(H285="","",IFERROR(INDEX(Szabályok!$D$13:$D$200,MATCH(H285,Szabályok!$A$13:$A$200,0)),""))</f>
        <v/>
      </c>
      <c r="L285" s="5">
        <f>IF(H285="","",IFERROR(INDEX(Szabályok!$E$13:$E$200,MATCH(H285,Szabályok!$A$13:$A$200,0)),""))</f>
        <v/>
      </c>
      <c r="M285" s="5">
        <f>IF(H285="","",IFERROR(INDEX(Szabályok!$F$13:$F$200,MATCH(H285,Szabályok!$A$13:$A$200,0)),""))</f>
        <v/>
      </c>
      <c r="N285" s="5">
        <f>IF(H285="","",IFERROR(INDEX(Szabályok!$G$13:$G$200,MATCH(H285,Szabályok!$A$13:$A$200,0)),""))</f>
        <v/>
      </c>
      <c r="O285" s="5">
        <f>IF(H285="","",IFERROR(INDEX(Szabályok!$H$13:$H$200,MATCH(H285,Szabályok!$A$13:$A$200,0)),""))</f>
        <v/>
      </c>
      <c r="P285" s="5" t="n"/>
      <c r="Q285" s="6" t="n"/>
      <c r="R285" s="6" t="n"/>
      <c r="S285" s="6">
        <f>IF(COUNT(Q285:R285)=0,"",SUM(Q285:R285))</f>
        <v/>
      </c>
      <c r="T285" s="6" t="n"/>
      <c r="U285" s="5">
        <f>IF(T285="","",IF(L285&lt;&gt;"IGEN","IGEN",IF(S285&gt;=T285,"IGEN","NEM")))</f>
        <v/>
      </c>
      <c r="V285" s="5" t="n"/>
      <c r="W285" s="5" t="n"/>
      <c r="X285" s="5" t="n"/>
      <c r="Y285" s="5" t="n"/>
      <c r="Z285" s="5">
        <f>IF(X285="","",IF(COUNTIFS($X$5:$X$304,X285,$I$5:$I$304,"&lt;"&amp;I285)=0,I285,""))</f>
        <v/>
      </c>
      <c r="AA285" s="5">
        <f>IF(X285="","",IF(COUNTIFS($X$5:$X$304,X285,$I$5:$I$304,"&lt;"&amp;I285)&gt;0,"NEM",IF(COUNTIFS($X$5:$X$304,X285,$I$5:$I$304,I285)=1,"IGEN",IF(Y285=1,"IGEN","NEM"))))</f>
        <v/>
      </c>
      <c r="AB285" s="5">
        <f>IF(OR(I285="",J285=""),"",IF(OR(I285=0,V285="IGEN",W285="IGEN"),"X",IF(AND(K285&lt;&gt;"IGEN",L285="IGEN",U285="NEM"),"X",IF(AA285="IGEN",J285,"X"))))</f>
        <v/>
      </c>
      <c r="AC285" s="5">
        <f>IF(AB285="X",0,IF(D285="","",D285))</f>
        <v/>
      </c>
      <c r="AD285" s="5">
        <f>IF(AB285="X",IF(D285="","",D285),0)</f>
        <v/>
      </c>
      <c r="AE285" s="6" t="n"/>
      <c r="AF285" s="6">
        <f>IF(E285="","",SUMIFS($AI$5:AI285,$E$5:E285,E285)-AI285)</f>
        <v/>
      </c>
      <c r="AG285" s="6">
        <f>IF(AE285="","",MAX(0,AE285-AF285))</f>
        <v/>
      </c>
      <c r="AH285" s="6">
        <f>IF(S285="","",IF(OR(I285=0,V285="IGEN",W285="IGEN"),0,IF(AND(K285&lt;&gt;"IGEN",L285="IGEN",U285="NEM"),0,S285)))</f>
        <v/>
      </c>
      <c r="AI285" s="6">
        <f>IF(AH285="","",IF(M285="IGEN",MIN(AH285,AG285),AH285))</f>
        <v/>
      </c>
      <c r="AJ285" s="5" t="n"/>
    </row>
    <row r="286">
      <c r="A286" s="5" t="n"/>
      <c r="B286" s="5" t="n"/>
      <c r="C286" s="5" t="n"/>
      <c r="D286" s="5">
        <f>IF(AND(B286&lt;&gt;"",C286&lt;&gt;""),C286-B286+1,"")</f>
        <v/>
      </c>
      <c r="E286" s="5">
        <f>IF(B286&lt;&gt;"",YEAR(B286),"")</f>
        <v/>
      </c>
      <c r="F286" s="6" t="n"/>
      <c r="G286" s="6" t="n"/>
      <c r="H286" s="6" t="n"/>
      <c r="I286" s="5">
        <f>IF(H286="","",IFERROR(INDEX(Szabályok!$B$13:$B$200,MATCH(H286,Szabályok!$A$13:$A$200,0)),""))</f>
        <v/>
      </c>
      <c r="J286" s="5">
        <f>IF(H286="","",IFERROR(INDEX(Szabályok!$C$13:$C$200,MATCH(H286,Szabályok!$A$13:$A$200,0)),""))</f>
        <v/>
      </c>
      <c r="K286" s="5">
        <f>IF(H286="","",IFERROR(INDEX(Szabályok!$D$13:$D$200,MATCH(H286,Szabályok!$A$13:$A$200,0)),""))</f>
        <v/>
      </c>
      <c r="L286" s="5">
        <f>IF(H286="","",IFERROR(INDEX(Szabályok!$E$13:$E$200,MATCH(H286,Szabályok!$A$13:$A$200,0)),""))</f>
        <v/>
      </c>
      <c r="M286" s="5">
        <f>IF(H286="","",IFERROR(INDEX(Szabályok!$F$13:$F$200,MATCH(H286,Szabályok!$A$13:$A$200,0)),""))</f>
        <v/>
      </c>
      <c r="N286" s="5">
        <f>IF(H286="","",IFERROR(INDEX(Szabályok!$G$13:$G$200,MATCH(H286,Szabályok!$A$13:$A$200,0)),""))</f>
        <v/>
      </c>
      <c r="O286" s="5">
        <f>IF(H286="","",IFERROR(INDEX(Szabályok!$H$13:$H$200,MATCH(H286,Szabályok!$A$13:$A$200,0)),""))</f>
        <v/>
      </c>
      <c r="P286" s="5" t="n"/>
      <c r="Q286" s="6" t="n"/>
      <c r="R286" s="6" t="n"/>
      <c r="S286" s="6">
        <f>IF(COUNT(Q286:R286)=0,"",SUM(Q286:R286))</f>
        <v/>
      </c>
      <c r="T286" s="6" t="n"/>
      <c r="U286" s="5">
        <f>IF(T286="","",IF(L286&lt;&gt;"IGEN","IGEN",IF(S286&gt;=T286,"IGEN","NEM")))</f>
        <v/>
      </c>
      <c r="V286" s="5" t="n"/>
      <c r="W286" s="5" t="n"/>
      <c r="X286" s="5" t="n"/>
      <c r="Y286" s="5" t="n"/>
      <c r="Z286" s="5">
        <f>IF(X286="","",IF(COUNTIFS($X$5:$X$304,X286,$I$5:$I$304,"&lt;"&amp;I286)=0,I286,""))</f>
        <v/>
      </c>
      <c r="AA286" s="5">
        <f>IF(X286="","",IF(COUNTIFS($X$5:$X$304,X286,$I$5:$I$304,"&lt;"&amp;I286)&gt;0,"NEM",IF(COUNTIFS($X$5:$X$304,X286,$I$5:$I$304,I286)=1,"IGEN",IF(Y286=1,"IGEN","NEM"))))</f>
        <v/>
      </c>
      <c r="AB286" s="5">
        <f>IF(OR(I286="",J286=""),"",IF(OR(I286=0,V286="IGEN",W286="IGEN"),"X",IF(AND(K286&lt;&gt;"IGEN",L286="IGEN",U286="NEM"),"X",IF(AA286="IGEN",J286,"X"))))</f>
        <v/>
      </c>
      <c r="AC286" s="5">
        <f>IF(AB286="X",0,IF(D286="","",D286))</f>
        <v/>
      </c>
      <c r="AD286" s="5">
        <f>IF(AB286="X",IF(D286="","",D286),0)</f>
        <v/>
      </c>
      <c r="AE286" s="6" t="n"/>
      <c r="AF286" s="6">
        <f>IF(E286="","",SUMIFS($AI$5:AI286,$E$5:E286,E286)-AI286)</f>
        <v/>
      </c>
      <c r="AG286" s="6">
        <f>IF(AE286="","",MAX(0,AE286-AF286))</f>
        <v/>
      </c>
      <c r="AH286" s="6">
        <f>IF(S286="","",IF(OR(I286=0,V286="IGEN",W286="IGEN"),0,IF(AND(K286&lt;&gt;"IGEN",L286="IGEN",U286="NEM"),0,S286)))</f>
        <v/>
      </c>
      <c r="AI286" s="6">
        <f>IF(AH286="","",IF(M286="IGEN",MIN(AH286,AG286),AH286))</f>
        <v/>
      </c>
      <c r="AJ286" s="5" t="n"/>
    </row>
    <row r="287">
      <c r="A287" s="5" t="n"/>
      <c r="B287" s="5" t="n"/>
      <c r="C287" s="5" t="n"/>
      <c r="D287" s="5">
        <f>IF(AND(B287&lt;&gt;"",C287&lt;&gt;""),C287-B287+1,"")</f>
        <v/>
      </c>
      <c r="E287" s="5">
        <f>IF(B287&lt;&gt;"",YEAR(B287),"")</f>
        <v/>
      </c>
      <c r="F287" s="6" t="n"/>
      <c r="G287" s="6" t="n"/>
      <c r="H287" s="6" t="n"/>
      <c r="I287" s="5">
        <f>IF(H287="","",IFERROR(INDEX(Szabályok!$B$13:$B$200,MATCH(H287,Szabályok!$A$13:$A$200,0)),""))</f>
        <v/>
      </c>
      <c r="J287" s="5">
        <f>IF(H287="","",IFERROR(INDEX(Szabályok!$C$13:$C$200,MATCH(H287,Szabályok!$A$13:$A$200,0)),""))</f>
        <v/>
      </c>
      <c r="K287" s="5">
        <f>IF(H287="","",IFERROR(INDEX(Szabályok!$D$13:$D$200,MATCH(H287,Szabályok!$A$13:$A$200,0)),""))</f>
        <v/>
      </c>
      <c r="L287" s="5">
        <f>IF(H287="","",IFERROR(INDEX(Szabályok!$E$13:$E$200,MATCH(H287,Szabályok!$A$13:$A$200,0)),""))</f>
        <v/>
      </c>
      <c r="M287" s="5">
        <f>IF(H287="","",IFERROR(INDEX(Szabályok!$F$13:$F$200,MATCH(H287,Szabályok!$A$13:$A$200,0)),""))</f>
        <v/>
      </c>
      <c r="N287" s="5">
        <f>IF(H287="","",IFERROR(INDEX(Szabályok!$G$13:$G$200,MATCH(H287,Szabályok!$A$13:$A$200,0)),""))</f>
        <v/>
      </c>
      <c r="O287" s="5">
        <f>IF(H287="","",IFERROR(INDEX(Szabályok!$H$13:$H$200,MATCH(H287,Szabályok!$A$13:$A$200,0)),""))</f>
        <v/>
      </c>
      <c r="P287" s="5" t="n"/>
      <c r="Q287" s="6" t="n"/>
      <c r="R287" s="6" t="n"/>
      <c r="S287" s="6">
        <f>IF(COUNT(Q287:R287)=0,"",SUM(Q287:R287))</f>
        <v/>
      </c>
      <c r="T287" s="6" t="n"/>
      <c r="U287" s="5">
        <f>IF(T287="","",IF(L287&lt;&gt;"IGEN","IGEN",IF(S287&gt;=T287,"IGEN","NEM")))</f>
        <v/>
      </c>
      <c r="V287" s="5" t="n"/>
      <c r="W287" s="5" t="n"/>
      <c r="X287" s="5" t="n"/>
      <c r="Y287" s="5" t="n"/>
      <c r="Z287" s="5">
        <f>IF(X287="","",IF(COUNTIFS($X$5:$X$304,X287,$I$5:$I$304,"&lt;"&amp;I287)=0,I287,""))</f>
        <v/>
      </c>
      <c r="AA287" s="5">
        <f>IF(X287="","",IF(COUNTIFS($X$5:$X$304,X287,$I$5:$I$304,"&lt;"&amp;I287)&gt;0,"NEM",IF(COUNTIFS($X$5:$X$304,X287,$I$5:$I$304,I287)=1,"IGEN",IF(Y287=1,"IGEN","NEM"))))</f>
        <v/>
      </c>
      <c r="AB287" s="5">
        <f>IF(OR(I287="",J287=""),"",IF(OR(I287=0,V287="IGEN",W287="IGEN"),"X",IF(AND(K287&lt;&gt;"IGEN",L287="IGEN",U287="NEM"),"X",IF(AA287="IGEN",J287,"X"))))</f>
        <v/>
      </c>
      <c r="AC287" s="5">
        <f>IF(AB287="X",0,IF(D287="","",D287))</f>
        <v/>
      </c>
      <c r="AD287" s="5">
        <f>IF(AB287="X",IF(D287="","",D287),0)</f>
        <v/>
      </c>
      <c r="AE287" s="6" t="n"/>
      <c r="AF287" s="6">
        <f>IF(E287="","",SUMIFS($AI$5:AI287,$E$5:E287,E287)-AI287)</f>
        <v/>
      </c>
      <c r="AG287" s="6">
        <f>IF(AE287="","",MAX(0,AE287-AF287))</f>
        <v/>
      </c>
      <c r="AH287" s="6">
        <f>IF(S287="","",IF(OR(I287=0,V287="IGEN",W287="IGEN"),0,IF(AND(K287&lt;&gt;"IGEN",L287="IGEN",U287="NEM"),0,S287)))</f>
        <v/>
      </c>
      <c r="AI287" s="6">
        <f>IF(AH287="","",IF(M287="IGEN",MIN(AH287,AG287),AH287))</f>
        <v/>
      </c>
      <c r="AJ287" s="5" t="n"/>
    </row>
    <row r="288">
      <c r="A288" s="5" t="n"/>
      <c r="B288" s="5" t="n"/>
      <c r="C288" s="5" t="n"/>
      <c r="D288" s="5">
        <f>IF(AND(B288&lt;&gt;"",C288&lt;&gt;""),C288-B288+1,"")</f>
        <v/>
      </c>
      <c r="E288" s="5">
        <f>IF(B288&lt;&gt;"",YEAR(B288),"")</f>
        <v/>
      </c>
      <c r="F288" s="6" t="n"/>
      <c r="G288" s="6" t="n"/>
      <c r="H288" s="6" t="n"/>
      <c r="I288" s="5">
        <f>IF(H288="","",IFERROR(INDEX(Szabályok!$B$13:$B$200,MATCH(H288,Szabályok!$A$13:$A$200,0)),""))</f>
        <v/>
      </c>
      <c r="J288" s="5">
        <f>IF(H288="","",IFERROR(INDEX(Szabályok!$C$13:$C$200,MATCH(H288,Szabályok!$A$13:$A$200,0)),""))</f>
        <v/>
      </c>
      <c r="K288" s="5">
        <f>IF(H288="","",IFERROR(INDEX(Szabályok!$D$13:$D$200,MATCH(H288,Szabályok!$A$13:$A$200,0)),""))</f>
        <v/>
      </c>
      <c r="L288" s="5">
        <f>IF(H288="","",IFERROR(INDEX(Szabályok!$E$13:$E$200,MATCH(H288,Szabályok!$A$13:$A$200,0)),""))</f>
        <v/>
      </c>
      <c r="M288" s="5">
        <f>IF(H288="","",IFERROR(INDEX(Szabályok!$F$13:$F$200,MATCH(H288,Szabályok!$A$13:$A$200,0)),""))</f>
        <v/>
      </c>
      <c r="N288" s="5">
        <f>IF(H288="","",IFERROR(INDEX(Szabályok!$G$13:$G$200,MATCH(H288,Szabályok!$A$13:$A$200,0)),""))</f>
        <v/>
      </c>
      <c r="O288" s="5">
        <f>IF(H288="","",IFERROR(INDEX(Szabályok!$H$13:$H$200,MATCH(H288,Szabályok!$A$13:$A$200,0)),""))</f>
        <v/>
      </c>
      <c r="P288" s="5" t="n"/>
      <c r="Q288" s="6" t="n"/>
      <c r="R288" s="6" t="n"/>
      <c r="S288" s="6">
        <f>IF(COUNT(Q288:R288)=0,"",SUM(Q288:R288))</f>
        <v/>
      </c>
      <c r="T288" s="6" t="n"/>
      <c r="U288" s="5">
        <f>IF(T288="","",IF(L288&lt;&gt;"IGEN","IGEN",IF(S288&gt;=T288,"IGEN","NEM")))</f>
        <v/>
      </c>
      <c r="V288" s="5" t="n"/>
      <c r="W288" s="5" t="n"/>
      <c r="X288" s="5" t="n"/>
      <c r="Y288" s="5" t="n"/>
      <c r="Z288" s="5">
        <f>IF(X288="","",IF(COUNTIFS($X$5:$X$304,X288,$I$5:$I$304,"&lt;"&amp;I288)=0,I288,""))</f>
        <v/>
      </c>
      <c r="AA288" s="5">
        <f>IF(X288="","",IF(COUNTIFS($X$5:$X$304,X288,$I$5:$I$304,"&lt;"&amp;I288)&gt;0,"NEM",IF(COUNTIFS($X$5:$X$304,X288,$I$5:$I$304,I288)=1,"IGEN",IF(Y288=1,"IGEN","NEM"))))</f>
        <v/>
      </c>
      <c r="AB288" s="5">
        <f>IF(OR(I288="",J288=""),"",IF(OR(I288=0,V288="IGEN",W288="IGEN"),"X",IF(AND(K288&lt;&gt;"IGEN",L288="IGEN",U288="NEM"),"X",IF(AA288="IGEN",J288,"X"))))</f>
        <v/>
      </c>
      <c r="AC288" s="5">
        <f>IF(AB288="X",0,IF(D288="","",D288))</f>
        <v/>
      </c>
      <c r="AD288" s="5">
        <f>IF(AB288="X",IF(D288="","",D288),0)</f>
        <v/>
      </c>
      <c r="AE288" s="6" t="n"/>
      <c r="AF288" s="6">
        <f>IF(E288="","",SUMIFS($AI$5:AI288,$E$5:E288,E288)-AI288)</f>
        <v/>
      </c>
      <c r="AG288" s="6">
        <f>IF(AE288="","",MAX(0,AE288-AF288))</f>
        <v/>
      </c>
      <c r="AH288" s="6">
        <f>IF(S288="","",IF(OR(I288=0,V288="IGEN",W288="IGEN"),0,IF(AND(K288&lt;&gt;"IGEN",L288="IGEN",U288="NEM"),0,S288)))</f>
        <v/>
      </c>
      <c r="AI288" s="6">
        <f>IF(AH288="","",IF(M288="IGEN",MIN(AH288,AG288),AH288))</f>
        <v/>
      </c>
      <c r="AJ288" s="5" t="n"/>
    </row>
    <row r="289">
      <c r="A289" s="5" t="n"/>
      <c r="B289" s="5" t="n"/>
      <c r="C289" s="5" t="n"/>
      <c r="D289" s="5">
        <f>IF(AND(B289&lt;&gt;"",C289&lt;&gt;""),C289-B289+1,"")</f>
        <v/>
      </c>
      <c r="E289" s="5">
        <f>IF(B289&lt;&gt;"",YEAR(B289),"")</f>
        <v/>
      </c>
      <c r="F289" s="6" t="n"/>
      <c r="G289" s="6" t="n"/>
      <c r="H289" s="6" t="n"/>
      <c r="I289" s="5">
        <f>IF(H289="","",IFERROR(INDEX(Szabályok!$B$13:$B$200,MATCH(H289,Szabályok!$A$13:$A$200,0)),""))</f>
        <v/>
      </c>
      <c r="J289" s="5">
        <f>IF(H289="","",IFERROR(INDEX(Szabályok!$C$13:$C$200,MATCH(H289,Szabályok!$A$13:$A$200,0)),""))</f>
        <v/>
      </c>
      <c r="K289" s="5">
        <f>IF(H289="","",IFERROR(INDEX(Szabályok!$D$13:$D$200,MATCH(H289,Szabályok!$A$13:$A$200,0)),""))</f>
        <v/>
      </c>
      <c r="L289" s="5">
        <f>IF(H289="","",IFERROR(INDEX(Szabályok!$E$13:$E$200,MATCH(H289,Szabályok!$A$13:$A$200,0)),""))</f>
        <v/>
      </c>
      <c r="M289" s="5">
        <f>IF(H289="","",IFERROR(INDEX(Szabályok!$F$13:$F$200,MATCH(H289,Szabályok!$A$13:$A$200,0)),""))</f>
        <v/>
      </c>
      <c r="N289" s="5">
        <f>IF(H289="","",IFERROR(INDEX(Szabályok!$G$13:$G$200,MATCH(H289,Szabályok!$A$13:$A$200,0)),""))</f>
        <v/>
      </c>
      <c r="O289" s="5">
        <f>IF(H289="","",IFERROR(INDEX(Szabályok!$H$13:$H$200,MATCH(H289,Szabályok!$A$13:$A$200,0)),""))</f>
        <v/>
      </c>
      <c r="P289" s="5" t="n"/>
      <c r="Q289" s="6" t="n"/>
      <c r="R289" s="6" t="n"/>
      <c r="S289" s="6">
        <f>IF(COUNT(Q289:R289)=0,"",SUM(Q289:R289))</f>
        <v/>
      </c>
      <c r="T289" s="6" t="n"/>
      <c r="U289" s="5">
        <f>IF(T289="","",IF(L289&lt;&gt;"IGEN","IGEN",IF(S289&gt;=T289,"IGEN","NEM")))</f>
        <v/>
      </c>
      <c r="V289" s="5" t="n"/>
      <c r="W289" s="5" t="n"/>
      <c r="X289" s="5" t="n"/>
      <c r="Y289" s="5" t="n"/>
      <c r="Z289" s="5">
        <f>IF(X289="","",IF(COUNTIFS($X$5:$X$304,X289,$I$5:$I$304,"&lt;"&amp;I289)=0,I289,""))</f>
        <v/>
      </c>
      <c r="AA289" s="5">
        <f>IF(X289="","",IF(COUNTIFS($X$5:$X$304,X289,$I$5:$I$304,"&lt;"&amp;I289)&gt;0,"NEM",IF(COUNTIFS($X$5:$X$304,X289,$I$5:$I$304,I289)=1,"IGEN",IF(Y289=1,"IGEN","NEM"))))</f>
        <v/>
      </c>
      <c r="AB289" s="5">
        <f>IF(OR(I289="",J289=""),"",IF(OR(I289=0,V289="IGEN",W289="IGEN"),"X",IF(AND(K289&lt;&gt;"IGEN",L289="IGEN",U289="NEM"),"X",IF(AA289="IGEN",J289,"X"))))</f>
        <v/>
      </c>
      <c r="AC289" s="5">
        <f>IF(AB289="X",0,IF(D289="","",D289))</f>
        <v/>
      </c>
      <c r="AD289" s="5">
        <f>IF(AB289="X",IF(D289="","",D289),0)</f>
        <v/>
      </c>
      <c r="AE289" s="6" t="n"/>
      <c r="AF289" s="6">
        <f>IF(E289="","",SUMIFS($AI$5:AI289,$E$5:E289,E289)-AI289)</f>
        <v/>
      </c>
      <c r="AG289" s="6">
        <f>IF(AE289="","",MAX(0,AE289-AF289))</f>
        <v/>
      </c>
      <c r="AH289" s="6">
        <f>IF(S289="","",IF(OR(I289=0,V289="IGEN",W289="IGEN"),0,IF(AND(K289&lt;&gt;"IGEN",L289="IGEN",U289="NEM"),0,S289)))</f>
        <v/>
      </c>
      <c r="AI289" s="6">
        <f>IF(AH289="","",IF(M289="IGEN",MIN(AH289,AG289),AH289))</f>
        <v/>
      </c>
      <c r="AJ289" s="5" t="n"/>
    </row>
    <row r="290">
      <c r="A290" s="5" t="n"/>
      <c r="B290" s="5" t="n"/>
      <c r="C290" s="5" t="n"/>
      <c r="D290" s="5">
        <f>IF(AND(B290&lt;&gt;"",C290&lt;&gt;""),C290-B290+1,"")</f>
        <v/>
      </c>
      <c r="E290" s="5">
        <f>IF(B290&lt;&gt;"",YEAR(B290),"")</f>
        <v/>
      </c>
      <c r="F290" s="6" t="n"/>
      <c r="G290" s="6" t="n"/>
      <c r="H290" s="6" t="n"/>
      <c r="I290" s="5">
        <f>IF(H290="","",IFERROR(INDEX(Szabályok!$B$13:$B$200,MATCH(H290,Szabályok!$A$13:$A$200,0)),""))</f>
        <v/>
      </c>
      <c r="J290" s="5">
        <f>IF(H290="","",IFERROR(INDEX(Szabályok!$C$13:$C$200,MATCH(H290,Szabályok!$A$13:$A$200,0)),""))</f>
        <v/>
      </c>
      <c r="K290" s="5">
        <f>IF(H290="","",IFERROR(INDEX(Szabályok!$D$13:$D$200,MATCH(H290,Szabályok!$A$13:$A$200,0)),""))</f>
        <v/>
      </c>
      <c r="L290" s="5">
        <f>IF(H290="","",IFERROR(INDEX(Szabályok!$E$13:$E$200,MATCH(H290,Szabályok!$A$13:$A$200,0)),""))</f>
        <v/>
      </c>
      <c r="M290" s="5">
        <f>IF(H290="","",IFERROR(INDEX(Szabályok!$F$13:$F$200,MATCH(H290,Szabályok!$A$13:$A$200,0)),""))</f>
        <v/>
      </c>
      <c r="N290" s="5">
        <f>IF(H290="","",IFERROR(INDEX(Szabályok!$G$13:$G$200,MATCH(H290,Szabályok!$A$13:$A$200,0)),""))</f>
        <v/>
      </c>
      <c r="O290" s="5">
        <f>IF(H290="","",IFERROR(INDEX(Szabályok!$H$13:$H$200,MATCH(H290,Szabályok!$A$13:$A$200,0)),""))</f>
        <v/>
      </c>
      <c r="P290" s="5" t="n"/>
      <c r="Q290" s="6" t="n"/>
      <c r="R290" s="6" t="n"/>
      <c r="S290" s="6">
        <f>IF(COUNT(Q290:R290)=0,"",SUM(Q290:R290))</f>
        <v/>
      </c>
      <c r="T290" s="6" t="n"/>
      <c r="U290" s="5">
        <f>IF(T290="","",IF(L290&lt;&gt;"IGEN","IGEN",IF(S290&gt;=T290,"IGEN","NEM")))</f>
        <v/>
      </c>
      <c r="V290" s="5" t="n"/>
      <c r="W290" s="5" t="n"/>
      <c r="X290" s="5" t="n"/>
      <c r="Y290" s="5" t="n"/>
      <c r="Z290" s="5">
        <f>IF(X290="","",IF(COUNTIFS($X$5:$X$304,X290,$I$5:$I$304,"&lt;"&amp;I290)=0,I290,""))</f>
        <v/>
      </c>
      <c r="AA290" s="5">
        <f>IF(X290="","",IF(COUNTIFS($X$5:$X$304,X290,$I$5:$I$304,"&lt;"&amp;I290)&gt;0,"NEM",IF(COUNTIFS($X$5:$X$304,X290,$I$5:$I$304,I290)=1,"IGEN",IF(Y290=1,"IGEN","NEM"))))</f>
        <v/>
      </c>
      <c r="AB290" s="5">
        <f>IF(OR(I290="",J290=""),"",IF(OR(I290=0,V290="IGEN",W290="IGEN"),"X",IF(AND(K290&lt;&gt;"IGEN",L290="IGEN",U290="NEM"),"X",IF(AA290="IGEN",J290,"X"))))</f>
        <v/>
      </c>
      <c r="AC290" s="5">
        <f>IF(AB290="X",0,IF(D290="","",D290))</f>
        <v/>
      </c>
      <c r="AD290" s="5">
        <f>IF(AB290="X",IF(D290="","",D290),0)</f>
        <v/>
      </c>
      <c r="AE290" s="6" t="n"/>
      <c r="AF290" s="6">
        <f>IF(E290="","",SUMIFS($AI$5:AI290,$E$5:E290,E290)-AI290)</f>
        <v/>
      </c>
      <c r="AG290" s="6">
        <f>IF(AE290="","",MAX(0,AE290-AF290))</f>
        <v/>
      </c>
      <c r="AH290" s="6">
        <f>IF(S290="","",IF(OR(I290=0,V290="IGEN",W290="IGEN"),0,IF(AND(K290&lt;&gt;"IGEN",L290="IGEN",U290="NEM"),0,S290)))</f>
        <v/>
      </c>
      <c r="AI290" s="6">
        <f>IF(AH290="","",IF(M290="IGEN",MIN(AH290,AG290),AH290))</f>
        <v/>
      </c>
      <c r="AJ290" s="5" t="n"/>
    </row>
    <row r="291">
      <c r="A291" s="5" t="n"/>
      <c r="B291" s="5" t="n"/>
      <c r="C291" s="5" t="n"/>
      <c r="D291" s="5">
        <f>IF(AND(B291&lt;&gt;"",C291&lt;&gt;""),C291-B291+1,"")</f>
        <v/>
      </c>
      <c r="E291" s="5">
        <f>IF(B291&lt;&gt;"",YEAR(B291),"")</f>
        <v/>
      </c>
      <c r="F291" s="6" t="n"/>
      <c r="G291" s="6" t="n"/>
      <c r="H291" s="6" t="n"/>
      <c r="I291" s="5">
        <f>IF(H291="","",IFERROR(INDEX(Szabályok!$B$13:$B$200,MATCH(H291,Szabályok!$A$13:$A$200,0)),""))</f>
        <v/>
      </c>
      <c r="J291" s="5">
        <f>IF(H291="","",IFERROR(INDEX(Szabályok!$C$13:$C$200,MATCH(H291,Szabályok!$A$13:$A$200,0)),""))</f>
        <v/>
      </c>
      <c r="K291" s="5">
        <f>IF(H291="","",IFERROR(INDEX(Szabályok!$D$13:$D$200,MATCH(H291,Szabályok!$A$13:$A$200,0)),""))</f>
        <v/>
      </c>
      <c r="L291" s="5">
        <f>IF(H291="","",IFERROR(INDEX(Szabályok!$E$13:$E$200,MATCH(H291,Szabályok!$A$13:$A$200,0)),""))</f>
        <v/>
      </c>
      <c r="M291" s="5">
        <f>IF(H291="","",IFERROR(INDEX(Szabályok!$F$13:$F$200,MATCH(H291,Szabályok!$A$13:$A$200,0)),""))</f>
        <v/>
      </c>
      <c r="N291" s="5">
        <f>IF(H291="","",IFERROR(INDEX(Szabályok!$G$13:$G$200,MATCH(H291,Szabályok!$A$13:$A$200,0)),""))</f>
        <v/>
      </c>
      <c r="O291" s="5">
        <f>IF(H291="","",IFERROR(INDEX(Szabályok!$H$13:$H$200,MATCH(H291,Szabályok!$A$13:$A$200,0)),""))</f>
        <v/>
      </c>
      <c r="P291" s="5" t="n"/>
      <c r="Q291" s="6" t="n"/>
      <c r="R291" s="6" t="n"/>
      <c r="S291" s="6">
        <f>IF(COUNT(Q291:R291)=0,"",SUM(Q291:R291))</f>
        <v/>
      </c>
      <c r="T291" s="6" t="n"/>
      <c r="U291" s="5">
        <f>IF(T291="","",IF(L291&lt;&gt;"IGEN","IGEN",IF(S291&gt;=T291,"IGEN","NEM")))</f>
        <v/>
      </c>
      <c r="V291" s="5" t="n"/>
      <c r="W291" s="5" t="n"/>
      <c r="X291" s="5" t="n"/>
      <c r="Y291" s="5" t="n"/>
      <c r="Z291" s="5">
        <f>IF(X291="","",IF(COUNTIFS($X$5:$X$304,X291,$I$5:$I$304,"&lt;"&amp;I291)=0,I291,""))</f>
        <v/>
      </c>
      <c r="AA291" s="5">
        <f>IF(X291="","",IF(COUNTIFS($X$5:$X$304,X291,$I$5:$I$304,"&lt;"&amp;I291)&gt;0,"NEM",IF(COUNTIFS($X$5:$X$304,X291,$I$5:$I$304,I291)=1,"IGEN",IF(Y291=1,"IGEN","NEM"))))</f>
        <v/>
      </c>
      <c r="AB291" s="5">
        <f>IF(OR(I291="",J291=""),"",IF(OR(I291=0,V291="IGEN",W291="IGEN"),"X",IF(AND(K291&lt;&gt;"IGEN",L291="IGEN",U291="NEM"),"X",IF(AA291="IGEN",J291,"X"))))</f>
        <v/>
      </c>
      <c r="AC291" s="5">
        <f>IF(AB291="X",0,IF(D291="","",D291))</f>
        <v/>
      </c>
      <c r="AD291" s="5">
        <f>IF(AB291="X",IF(D291="","",D291),0)</f>
        <v/>
      </c>
      <c r="AE291" s="6" t="n"/>
      <c r="AF291" s="6">
        <f>IF(E291="","",SUMIFS($AI$5:AI291,$E$5:E291,E291)-AI291)</f>
        <v/>
      </c>
      <c r="AG291" s="6">
        <f>IF(AE291="","",MAX(0,AE291-AF291))</f>
        <v/>
      </c>
      <c r="AH291" s="6">
        <f>IF(S291="","",IF(OR(I291=0,V291="IGEN",W291="IGEN"),0,IF(AND(K291&lt;&gt;"IGEN",L291="IGEN",U291="NEM"),0,S291)))</f>
        <v/>
      </c>
      <c r="AI291" s="6">
        <f>IF(AH291="","",IF(M291="IGEN",MIN(AH291,AG291),AH291))</f>
        <v/>
      </c>
      <c r="AJ291" s="5" t="n"/>
    </row>
    <row r="292">
      <c r="A292" s="5" t="n"/>
      <c r="B292" s="5" t="n"/>
      <c r="C292" s="5" t="n"/>
      <c r="D292" s="5">
        <f>IF(AND(B292&lt;&gt;"",C292&lt;&gt;""),C292-B292+1,"")</f>
        <v/>
      </c>
      <c r="E292" s="5">
        <f>IF(B292&lt;&gt;"",YEAR(B292),"")</f>
        <v/>
      </c>
      <c r="F292" s="6" t="n"/>
      <c r="G292" s="6" t="n"/>
      <c r="H292" s="6" t="n"/>
      <c r="I292" s="5">
        <f>IF(H292="","",IFERROR(INDEX(Szabályok!$B$13:$B$200,MATCH(H292,Szabályok!$A$13:$A$200,0)),""))</f>
        <v/>
      </c>
      <c r="J292" s="5">
        <f>IF(H292="","",IFERROR(INDEX(Szabályok!$C$13:$C$200,MATCH(H292,Szabályok!$A$13:$A$200,0)),""))</f>
        <v/>
      </c>
      <c r="K292" s="5">
        <f>IF(H292="","",IFERROR(INDEX(Szabályok!$D$13:$D$200,MATCH(H292,Szabályok!$A$13:$A$200,0)),""))</f>
        <v/>
      </c>
      <c r="L292" s="5">
        <f>IF(H292="","",IFERROR(INDEX(Szabályok!$E$13:$E$200,MATCH(H292,Szabályok!$A$13:$A$200,0)),""))</f>
        <v/>
      </c>
      <c r="M292" s="5">
        <f>IF(H292="","",IFERROR(INDEX(Szabályok!$F$13:$F$200,MATCH(H292,Szabályok!$A$13:$A$200,0)),""))</f>
        <v/>
      </c>
      <c r="N292" s="5">
        <f>IF(H292="","",IFERROR(INDEX(Szabályok!$G$13:$G$200,MATCH(H292,Szabályok!$A$13:$A$200,0)),""))</f>
        <v/>
      </c>
      <c r="O292" s="5">
        <f>IF(H292="","",IFERROR(INDEX(Szabályok!$H$13:$H$200,MATCH(H292,Szabályok!$A$13:$A$200,0)),""))</f>
        <v/>
      </c>
      <c r="P292" s="5" t="n"/>
      <c r="Q292" s="6" t="n"/>
      <c r="R292" s="6" t="n"/>
      <c r="S292" s="6">
        <f>IF(COUNT(Q292:R292)=0,"",SUM(Q292:R292))</f>
        <v/>
      </c>
      <c r="T292" s="6" t="n"/>
      <c r="U292" s="5">
        <f>IF(T292="","",IF(L292&lt;&gt;"IGEN","IGEN",IF(S292&gt;=T292,"IGEN","NEM")))</f>
        <v/>
      </c>
      <c r="V292" s="5" t="n"/>
      <c r="W292" s="5" t="n"/>
      <c r="X292" s="5" t="n"/>
      <c r="Y292" s="5" t="n"/>
      <c r="Z292" s="5">
        <f>IF(X292="","",IF(COUNTIFS($X$5:$X$304,X292,$I$5:$I$304,"&lt;"&amp;I292)=0,I292,""))</f>
        <v/>
      </c>
      <c r="AA292" s="5">
        <f>IF(X292="","",IF(COUNTIFS($X$5:$X$304,X292,$I$5:$I$304,"&lt;"&amp;I292)&gt;0,"NEM",IF(COUNTIFS($X$5:$X$304,X292,$I$5:$I$304,I292)=1,"IGEN",IF(Y292=1,"IGEN","NEM"))))</f>
        <v/>
      </c>
      <c r="AB292" s="5">
        <f>IF(OR(I292="",J292=""),"",IF(OR(I292=0,V292="IGEN",W292="IGEN"),"X",IF(AND(K292&lt;&gt;"IGEN",L292="IGEN",U292="NEM"),"X",IF(AA292="IGEN",J292,"X"))))</f>
        <v/>
      </c>
      <c r="AC292" s="5">
        <f>IF(AB292="X",0,IF(D292="","",D292))</f>
        <v/>
      </c>
      <c r="AD292" s="5">
        <f>IF(AB292="X",IF(D292="","",D292),0)</f>
        <v/>
      </c>
      <c r="AE292" s="6" t="n"/>
      <c r="AF292" s="6">
        <f>IF(E292="","",SUMIFS($AI$5:AI292,$E$5:E292,E292)-AI292)</f>
        <v/>
      </c>
      <c r="AG292" s="6">
        <f>IF(AE292="","",MAX(0,AE292-AF292))</f>
        <v/>
      </c>
      <c r="AH292" s="6">
        <f>IF(S292="","",IF(OR(I292=0,V292="IGEN",W292="IGEN"),0,IF(AND(K292&lt;&gt;"IGEN",L292="IGEN",U292="NEM"),0,S292)))</f>
        <v/>
      </c>
      <c r="AI292" s="6">
        <f>IF(AH292="","",IF(M292="IGEN",MIN(AH292,AG292),AH292))</f>
        <v/>
      </c>
      <c r="AJ292" s="5" t="n"/>
    </row>
    <row r="293">
      <c r="A293" s="5" t="n"/>
      <c r="B293" s="5" t="n"/>
      <c r="C293" s="5" t="n"/>
      <c r="D293" s="5">
        <f>IF(AND(B293&lt;&gt;"",C293&lt;&gt;""),C293-B293+1,"")</f>
        <v/>
      </c>
      <c r="E293" s="5">
        <f>IF(B293&lt;&gt;"",YEAR(B293),"")</f>
        <v/>
      </c>
      <c r="F293" s="6" t="n"/>
      <c r="G293" s="6" t="n"/>
      <c r="H293" s="6" t="n"/>
      <c r="I293" s="5">
        <f>IF(H293="","",IFERROR(INDEX(Szabályok!$B$13:$B$200,MATCH(H293,Szabályok!$A$13:$A$200,0)),""))</f>
        <v/>
      </c>
      <c r="J293" s="5">
        <f>IF(H293="","",IFERROR(INDEX(Szabályok!$C$13:$C$200,MATCH(H293,Szabályok!$A$13:$A$200,0)),""))</f>
        <v/>
      </c>
      <c r="K293" s="5">
        <f>IF(H293="","",IFERROR(INDEX(Szabályok!$D$13:$D$200,MATCH(H293,Szabályok!$A$13:$A$200,0)),""))</f>
        <v/>
      </c>
      <c r="L293" s="5">
        <f>IF(H293="","",IFERROR(INDEX(Szabályok!$E$13:$E$200,MATCH(H293,Szabályok!$A$13:$A$200,0)),""))</f>
        <v/>
      </c>
      <c r="M293" s="5">
        <f>IF(H293="","",IFERROR(INDEX(Szabályok!$F$13:$F$200,MATCH(H293,Szabályok!$A$13:$A$200,0)),""))</f>
        <v/>
      </c>
      <c r="N293" s="5">
        <f>IF(H293="","",IFERROR(INDEX(Szabályok!$G$13:$G$200,MATCH(H293,Szabályok!$A$13:$A$200,0)),""))</f>
        <v/>
      </c>
      <c r="O293" s="5">
        <f>IF(H293="","",IFERROR(INDEX(Szabályok!$H$13:$H$200,MATCH(H293,Szabályok!$A$13:$A$200,0)),""))</f>
        <v/>
      </c>
      <c r="P293" s="5" t="n"/>
      <c r="Q293" s="6" t="n"/>
      <c r="R293" s="6" t="n"/>
      <c r="S293" s="6">
        <f>IF(COUNT(Q293:R293)=0,"",SUM(Q293:R293))</f>
        <v/>
      </c>
      <c r="T293" s="6" t="n"/>
      <c r="U293" s="5">
        <f>IF(T293="","",IF(L293&lt;&gt;"IGEN","IGEN",IF(S293&gt;=T293,"IGEN","NEM")))</f>
        <v/>
      </c>
      <c r="V293" s="5" t="n"/>
      <c r="W293" s="5" t="n"/>
      <c r="X293" s="5" t="n"/>
      <c r="Y293" s="5" t="n"/>
      <c r="Z293" s="5">
        <f>IF(X293="","",IF(COUNTIFS($X$5:$X$304,X293,$I$5:$I$304,"&lt;"&amp;I293)=0,I293,""))</f>
        <v/>
      </c>
      <c r="AA293" s="5">
        <f>IF(X293="","",IF(COUNTIFS($X$5:$X$304,X293,$I$5:$I$304,"&lt;"&amp;I293)&gt;0,"NEM",IF(COUNTIFS($X$5:$X$304,X293,$I$5:$I$304,I293)=1,"IGEN",IF(Y293=1,"IGEN","NEM"))))</f>
        <v/>
      </c>
      <c r="AB293" s="5">
        <f>IF(OR(I293="",J293=""),"",IF(OR(I293=0,V293="IGEN",W293="IGEN"),"X",IF(AND(K293&lt;&gt;"IGEN",L293="IGEN",U293="NEM"),"X",IF(AA293="IGEN",J293,"X"))))</f>
        <v/>
      </c>
      <c r="AC293" s="5">
        <f>IF(AB293="X",0,IF(D293="","",D293))</f>
        <v/>
      </c>
      <c r="AD293" s="5">
        <f>IF(AB293="X",IF(D293="","",D293),0)</f>
        <v/>
      </c>
      <c r="AE293" s="6" t="n"/>
      <c r="AF293" s="6">
        <f>IF(E293="","",SUMIFS($AI$5:AI293,$E$5:E293,E293)-AI293)</f>
        <v/>
      </c>
      <c r="AG293" s="6">
        <f>IF(AE293="","",MAX(0,AE293-AF293))</f>
        <v/>
      </c>
      <c r="AH293" s="6">
        <f>IF(S293="","",IF(OR(I293=0,V293="IGEN",W293="IGEN"),0,IF(AND(K293&lt;&gt;"IGEN",L293="IGEN",U293="NEM"),0,S293)))</f>
        <v/>
      </c>
      <c r="AI293" s="6">
        <f>IF(AH293="","",IF(M293="IGEN",MIN(AH293,AG293),AH293))</f>
        <v/>
      </c>
      <c r="AJ293" s="5" t="n"/>
    </row>
    <row r="294">
      <c r="A294" s="5" t="n"/>
      <c r="B294" s="5" t="n"/>
      <c r="C294" s="5" t="n"/>
      <c r="D294" s="5">
        <f>IF(AND(B294&lt;&gt;"",C294&lt;&gt;""),C294-B294+1,"")</f>
        <v/>
      </c>
      <c r="E294" s="5">
        <f>IF(B294&lt;&gt;"",YEAR(B294),"")</f>
        <v/>
      </c>
      <c r="F294" s="6" t="n"/>
      <c r="G294" s="6" t="n"/>
      <c r="H294" s="6" t="n"/>
      <c r="I294" s="5">
        <f>IF(H294="","",IFERROR(INDEX(Szabályok!$B$13:$B$200,MATCH(H294,Szabályok!$A$13:$A$200,0)),""))</f>
        <v/>
      </c>
      <c r="J294" s="5">
        <f>IF(H294="","",IFERROR(INDEX(Szabályok!$C$13:$C$200,MATCH(H294,Szabályok!$A$13:$A$200,0)),""))</f>
        <v/>
      </c>
      <c r="K294" s="5">
        <f>IF(H294="","",IFERROR(INDEX(Szabályok!$D$13:$D$200,MATCH(H294,Szabályok!$A$13:$A$200,0)),""))</f>
        <v/>
      </c>
      <c r="L294" s="5">
        <f>IF(H294="","",IFERROR(INDEX(Szabályok!$E$13:$E$200,MATCH(H294,Szabályok!$A$13:$A$200,0)),""))</f>
        <v/>
      </c>
      <c r="M294" s="5">
        <f>IF(H294="","",IFERROR(INDEX(Szabályok!$F$13:$F$200,MATCH(H294,Szabályok!$A$13:$A$200,0)),""))</f>
        <v/>
      </c>
      <c r="N294" s="5">
        <f>IF(H294="","",IFERROR(INDEX(Szabályok!$G$13:$G$200,MATCH(H294,Szabályok!$A$13:$A$200,0)),""))</f>
        <v/>
      </c>
      <c r="O294" s="5">
        <f>IF(H294="","",IFERROR(INDEX(Szabályok!$H$13:$H$200,MATCH(H294,Szabályok!$A$13:$A$200,0)),""))</f>
        <v/>
      </c>
      <c r="P294" s="5" t="n"/>
      <c r="Q294" s="6" t="n"/>
      <c r="R294" s="6" t="n"/>
      <c r="S294" s="6">
        <f>IF(COUNT(Q294:R294)=0,"",SUM(Q294:R294))</f>
        <v/>
      </c>
      <c r="T294" s="6" t="n"/>
      <c r="U294" s="5">
        <f>IF(T294="","",IF(L294&lt;&gt;"IGEN","IGEN",IF(S294&gt;=T294,"IGEN","NEM")))</f>
        <v/>
      </c>
      <c r="V294" s="5" t="n"/>
      <c r="W294" s="5" t="n"/>
      <c r="X294" s="5" t="n"/>
      <c r="Y294" s="5" t="n"/>
      <c r="Z294" s="5">
        <f>IF(X294="","",IF(COUNTIFS($X$5:$X$304,X294,$I$5:$I$304,"&lt;"&amp;I294)=0,I294,""))</f>
        <v/>
      </c>
      <c r="AA294" s="5">
        <f>IF(X294="","",IF(COUNTIFS($X$5:$X$304,X294,$I$5:$I$304,"&lt;"&amp;I294)&gt;0,"NEM",IF(COUNTIFS($X$5:$X$304,X294,$I$5:$I$304,I294)=1,"IGEN",IF(Y294=1,"IGEN","NEM"))))</f>
        <v/>
      </c>
      <c r="AB294" s="5">
        <f>IF(OR(I294="",J294=""),"",IF(OR(I294=0,V294="IGEN",W294="IGEN"),"X",IF(AND(K294&lt;&gt;"IGEN",L294="IGEN",U294="NEM"),"X",IF(AA294="IGEN",J294,"X"))))</f>
        <v/>
      </c>
      <c r="AC294" s="5">
        <f>IF(AB294="X",0,IF(D294="","",D294))</f>
        <v/>
      </c>
      <c r="AD294" s="5">
        <f>IF(AB294="X",IF(D294="","",D294),0)</f>
        <v/>
      </c>
      <c r="AE294" s="6" t="n"/>
      <c r="AF294" s="6">
        <f>IF(E294="","",SUMIFS($AI$5:AI294,$E$5:E294,E294)-AI294)</f>
        <v/>
      </c>
      <c r="AG294" s="6">
        <f>IF(AE294="","",MAX(0,AE294-AF294))</f>
        <v/>
      </c>
      <c r="AH294" s="6">
        <f>IF(S294="","",IF(OR(I294=0,V294="IGEN",W294="IGEN"),0,IF(AND(K294&lt;&gt;"IGEN",L294="IGEN",U294="NEM"),0,S294)))</f>
        <v/>
      </c>
      <c r="AI294" s="6">
        <f>IF(AH294="","",IF(M294="IGEN",MIN(AH294,AG294),AH294))</f>
        <v/>
      </c>
      <c r="AJ294" s="5" t="n"/>
    </row>
    <row r="295">
      <c r="A295" s="5" t="n"/>
      <c r="B295" s="5" t="n"/>
      <c r="C295" s="5" t="n"/>
      <c r="D295" s="5">
        <f>IF(AND(B295&lt;&gt;"",C295&lt;&gt;""),C295-B295+1,"")</f>
        <v/>
      </c>
      <c r="E295" s="5">
        <f>IF(B295&lt;&gt;"",YEAR(B295),"")</f>
        <v/>
      </c>
      <c r="F295" s="6" t="n"/>
      <c r="G295" s="6" t="n"/>
      <c r="H295" s="6" t="n"/>
      <c r="I295" s="5">
        <f>IF(H295="","",IFERROR(INDEX(Szabályok!$B$13:$B$200,MATCH(H295,Szabályok!$A$13:$A$200,0)),""))</f>
        <v/>
      </c>
      <c r="J295" s="5">
        <f>IF(H295="","",IFERROR(INDEX(Szabályok!$C$13:$C$200,MATCH(H295,Szabályok!$A$13:$A$200,0)),""))</f>
        <v/>
      </c>
      <c r="K295" s="5">
        <f>IF(H295="","",IFERROR(INDEX(Szabályok!$D$13:$D$200,MATCH(H295,Szabályok!$A$13:$A$200,0)),""))</f>
        <v/>
      </c>
      <c r="L295" s="5">
        <f>IF(H295="","",IFERROR(INDEX(Szabályok!$E$13:$E$200,MATCH(H295,Szabályok!$A$13:$A$200,0)),""))</f>
        <v/>
      </c>
      <c r="M295" s="5">
        <f>IF(H295="","",IFERROR(INDEX(Szabályok!$F$13:$F$200,MATCH(H295,Szabályok!$A$13:$A$200,0)),""))</f>
        <v/>
      </c>
      <c r="N295" s="5">
        <f>IF(H295="","",IFERROR(INDEX(Szabályok!$G$13:$G$200,MATCH(H295,Szabályok!$A$13:$A$200,0)),""))</f>
        <v/>
      </c>
      <c r="O295" s="5">
        <f>IF(H295="","",IFERROR(INDEX(Szabályok!$H$13:$H$200,MATCH(H295,Szabályok!$A$13:$A$200,0)),""))</f>
        <v/>
      </c>
      <c r="P295" s="5" t="n"/>
      <c r="Q295" s="6" t="n"/>
      <c r="R295" s="6" t="n"/>
      <c r="S295" s="6">
        <f>IF(COUNT(Q295:R295)=0,"",SUM(Q295:R295))</f>
        <v/>
      </c>
      <c r="T295" s="6" t="n"/>
      <c r="U295" s="5">
        <f>IF(T295="","",IF(L295&lt;&gt;"IGEN","IGEN",IF(S295&gt;=T295,"IGEN","NEM")))</f>
        <v/>
      </c>
      <c r="V295" s="5" t="n"/>
      <c r="W295" s="5" t="n"/>
      <c r="X295" s="5" t="n"/>
      <c r="Y295" s="5" t="n"/>
      <c r="Z295" s="5">
        <f>IF(X295="","",IF(COUNTIFS($X$5:$X$304,X295,$I$5:$I$304,"&lt;"&amp;I295)=0,I295,""))</f>
        <v/>
      </c>
      <c r="AA295" s="5">
        <f>IF(X295="","",IF(COUNTIFS($X$5:$X$304,X295,$I$5:$I$304,"&lt;"&amp;I295)&gt;0,"NEM",IF(COUNTIFS($X$5:$X$304,X295,$I$5:$I$304,I295)=1,"IGEN",IF(Y295=1,"IGEN","NEM"))))</f>
        <v/>
      </c>
      <c r="AB295" s="5">
        <f>IF(OR(I295="",J295=""),"",IF(OR(I295=0,V295="IGEN",W295="IGEN"),"X",IF(AND(K295&lt;&gt;"IGEN",L295="IGEN",U295="NEM"),"X",IF(AA295="IGEN",J295,"X"))))</f>
        <v/>
      </c>
      <c r="AC295" s="5">
        <f>IF(AB295="X",0,IF(D295="","",D295))</f>
        <v/>
      </c>
      <c r="AD295" s="5">
        <f>IF(AB295="X",IF(D295="","",D295),0)</f>
        <v/>
      </c>
      <c r="AE295" s="6" t="n"/>
      <c r="AF295" s="6">
        <f>IF(E295="","",SUMIFS($AI$5:AI295,$E$5:E295,E295)-AI295)</f>
        <v/>
      </c>
      <c r="AG295" s="6">
        <f>IF(AE295="","",MAX(0,AE295-AF295))</f>
        <v/>
      </c>
      <c r="AH295" s="6">
        <f>IF(S295="","",IF(OR(I295=0,V295="IGEN",W295="IGEN"),0,IF(AND(K295&lt;&gt;"IGEN",L295="IGEN",U295="NEM"),0,S295)))</f>
        <v/>
      </c>
      <c r="AI295" s="6">
        <f>IF(AH295="","",IF(M295="IGEN",MIN(AH295,AG295),AH295))</f>
        <v/>
      </c>
      <c r="AJ295" s="5" t="n"/>
    </row>
    <row r="296">
      <c r="A296" s="5" t="n"/>
      <c r="B296" s="5" t="n"/>
      <c r="C296" s="5" t="n"/>
      <c r="D296" s="5">
        <f>IF(AND(B296&lt;&gt;"",C296&lt;&gt;""),C296-B296+1,"")</f>
        <v/>
      </c>
      <c r="E296" s="5">
        <f>IF(B296&lt;&gt;"",YEAR(B296),"")</f>
        <v/>
      </c>
      <c r="F296" s="6" t="n"/>
      <c r="G296" s="6" t="n"/>
      <c r="H296" s="6" t="n"/>
      <c r="I296" s="5">
        <f>IF(H296="","",IFERROR(INDEX(Szabályok!$B$13:$B$200,MATCH(H296,Szabályok!$A$13:$A$200,0)),""))</f>
        <v/>
      </c>
      <c r="J296" s="5">
        <f>IF(H296="","",IFERROR(INDEX(Szabályok!$C$13:$C$200,MATCH(H296,Szabályok!$A$13:$A$200,0)),""))</f>
        <v/>
      </c>
      <c r="K296" s="5">
        <f>IF(H296="","",IFERROR(INDEX(Szabályok!$D$13:$D$200,MATCH(H296,Szabályok!$A$13:$A$200,0)),""))</f>
        <v/>
      </c>
      <c r="L296" s="5">
        <f>IF(H296="","",IFERROR(INDEX(Szabályok!$E$13:$E$200,MATCH(H296,Szabályok!$A$13:$A$200,0)),""))</f>
        <v/>
      </c>
      <c r="M296" s="5">
        <f>IF(H296="","",IFERROR(INDEX(Szabályok!$F$13:$F$200,MATCH(H296,Szabályok!$A$13:$A$200,0)),""))</f>
        <v/>
      </c>
      <c r="N296" s="5">
        <f>IF(H296="","",IFERROR(INDEX(Szabályok!$G$13:$G$200,MATCH(H296,Szabályok!$A$13:$A$200,0)),""))</f>
        <v/>
      </c>
      <c r="O296" s="5">
        <f>IF(H296="","",IFERROR(INDEX(Szabályok!$H$13:$H$200,MATCH(H296,Szabályok!$A$13:$A$200,0)),""))</f>
        <v/>
      </c>
      <c r="P296" s="5" t="n"/>
      <c r="Q296" s="6" t="n"/>
      <c r="R296" s="6" t="n"/>
      <c r="S296" s="6">
        <f>IF(COUNT(Q296:R296)=0,"",SUM(Q296:R296))</f>
        <v/>
      </c>
      <c r="T296" s="6" t="n"/>
      <c r="U296" s="5">
        <f>IF(T296="","",IF(L296&lt;&gt;"IGEN","IGEN",IF(S296&gt;=T296,"IGEN","NEM")))</f>
        <v/>
      </c>
      <c r="V296" s="5" t="n"/>
      <c r="W296" s="5" t="n"/>
      <c r="X296" s="5" t="n"/>
      <c r="Y296" s="5" t="n"/>
      <c r="Z296" s="5">
        <f>IF(X296="","",IF(COUNTIFS($X$5:$X$304,X296,$I$5:$I$304,"&lt;"&amp;I296)=0,I296,""))</f>
        <v/>
      </c>
      <c r="AA296" s="5">
        <f>IF(X296="","",IF(COUNTIFS($X$5:$X$304,X296,$I$5:$I$304,"&lt;"&amp;I296)&gt;0,"NEM",IF(COUNTIFS($X$5:$X$304,X296,$I$5:$I$304,I296)=1,"IGEN",IF(Y296=1,"IGEN","NEM"))))</f>
        <v/>
      </c>
      <c r="AB296" s="5">
        <f>IF(OR(I296="",J296=""),"",IF(OR(I296=0,V296="IGEN",W296="IGEN"),"X",IF(AND(K296&lt;&gt;"IGEN",L296="IGEN",U296="NEM"),"X",IF(AA296="IGEN",J296,"X"))))</f>
        <v/>
      </c>
      <c r="AC296" s="5">
        <f>IF(AB296="X",0,IF(D296="","",D296))</f>
        <v/>
      </c>
      <c r="AD296" s="5">
        <f>IF(AB296="X",IF(D296="","",D296),0)</f>
        <v/>
      </c>
      <c r="AE296" s="6" t="n"/>
      <c r="AF296" s="6">
        <f>IF(E296="","",SUMIFS($AI$5:AI296,$E$5:E296,E296)-AI296)</f>
        <v/>
      </c>
      <c r="AG296" s="6">
        <f>IF(AE296="","",MAX(0,AE296-AF296))</f>
        <v/>
      </c>
      <c r="AH296" s="6">
        <f>IF(S296="","",IF(OR(I296=0,V296="IGEN",W296="IGEN"),0,IF(AND(K296&lt;&gt;"IGEN",L296="IGEN",U296="NEM"),0,S296)))</f>
        <v/>
      </c>
      <c r="AI296" s="6">
        <f>IF(AH296="","",IF(M296="IGEN",MIN(AH296,AG296),AH296))</f>
        <v/>
      </c>
      <c r="AJ296" s="5" t="n"/>
    </row>
    <row r="297">
      <c r="A297" s="5" t="n"/>
      <c r="B297" s="5" t="n"/>
      <c r="C297" s="5" t="n"/>
      <c r="D297" s="5">
        <f>IF(AND(B297&lt;&gt;"",C297&lt;&gt;""),C297-B297+1,"")</f>
        <v/>
      </c>
      <c r="E297" s="5">
        <f>IF(B297&lt;&gt;"",YEAR(B297),"")</f>
        <v/>
      </c>
      <c r="F297" s="6" t="n"/>
      <c r="G297" s="6" t="n"/>
      <c r="H297" s="6" t="n"/>
      <c r="I297" s="5">
        <f>IF(H297="","",IFERROR(INDEX(Szabályok!$B$13:$B$200,MATCH(H297,Szabályok!$A$13:$A$200,0)),""))</f>
        <v/>
      </c>
      <c r="J297" s="5">
        <f>IF(H297="","",IFERROR(INDEX(Szabályok!$C$13:$C$200,MATCH(H297,Szabályok!$A$13:$A$200,0)),""))</f>
        <v/>
      </c>
      <c r="K297" s="5">
        <f>IF(H297="","",IFERROR(INDEX(Szabályok!$D$13:$D$200,MATCH(H297,Szabályok!$A$13:$A$200,0)),""))</f>
        <v/>
      </c>
      <c r="L297" s="5">
        <f>IF(H297="","",IFERROR(INDEX(Szabályok!$E$13:$E$200,MATCH(H297,Szabályok!$A$13:$A$200,0)),""))</f>
        <v/>
      </c>
      <c r="M297" s="5">
        <f>IF(H297="","",IFERROR(INDEX(Szabályok!$F$13:$F$200,MATCH(H297,Szabályok!$A$13:$A$200,0)),""))</f>
        <v/>
      </c>
      <c r="N297" s="5">
        <f>IF(H297="","",IFERROR(INDEX(Szabályok!$G$13:$G$200,MATCH(H297,Szabályok!$A$13:$A$200,0)),""))</f>
        <v/>
      </c>
      <c r="O297" s="5">
        <f>IF(H297="","",IFERROR(INDEX(Szabályok!$H$13:$H$200,MATCH(H297,Szabályok!$A$13:$A$200,0)),""))</f>
        <v/>
      </c>
      <c r="P297" s="5" t="n"/>
      <c r="Q297" s="6" t="n"/>
      <c r="R297" s="6" t="n"/>
      <c r="S297" s="6">
        <f>IF(COUNT(Q297:R297)=0,"",SUM(Q297:R297))</f>
        <v/>
      </c>
      <c r="T297" s="6" t="n"/>
      <c r="U297" s="5">
        <f>IF(T297="","",IF(L297&lt;&gt;"IGEN","IGEN",IF(S297&gt;=T297,"IGEN","NEM")))</f>
        <v/>
      </c>
      <c r="V297" s="5" t="n"/>
      <c r="W297" s="5" t="n"/>
      <c r="X297" s="5" t="n"/>
      <c r="Y297" s="5" t="n"/>
      <c r="Z297" s="5">
        <f>IF(X297="","",IF(COUNTIFS($X$5:$X$304,X297,$I$5:$I$304,"&lt;"&amp;I297)=0,I297,""))</f>
        <v/>
      </c>
      <c r="AA297" s="5">
        <f>IF(X297="","",IF(COUNTIFS($X$5:$X$304,X297,$I$5:$I$304,"&lt;"&amp;I297)&gt;0,"NEM",IF(COUNTIFS($X$5:$X$304,X297,$I$5:$I$304,I297)=1,"IGEN",IF(Y297=1,"IGEN","NEM"))))</f>
        <v/>
      </c>
      <c r="AB297" s="5">
        <f>IF(OR(I297="",J297=""),"",IF(OR(I297=0,V297="IGEN",W297="IGEN"),"X",IF(AND(K297&lt;&gt;"IGEN",L297="IGEN",U297="NEM"),"X",IF(AA297="IGEN",J297,"X"))))</f>
        <v/>
      </c>
      <c r="AC297" s="5">
        <f>IF(AB297="X",0,IF(D297="","",D297))</f>
        <v/>
      </c>
      <c r="AD297" s="5">
        <f>IF(AB297="X",IF(D297="","",D297),0)</f>
        <v/>
      </c>
      <c r="AE297" s="6" t="n"/>
      <c r="AF297" s="6">
        <f>IF(E297="","",SUMIFS($AI$5:AI297,$E$5:E297,E297)-AI297)</f>
        <v/>
      </c>
      <c r="AG297" s="6">
        <f>IF(AE297="","",MAX(0,AE297-AF297))</f>
        <v/>
      </c>
      <c r="AH297" s="6">
        <f>IF(S297="","",IF(OR(I297=0,V297="IGEN",W297="IGEN"),0,IF(AND(K297&lt;&gt;"IGEN",L297="IGEN",U297="NEM"),0,S297)))</f>
        <v/>
      </c>
      <c r="AI297" s="6">
        <f>IF(AH297="","",IF(M297="IGEN",MIN(AH297,AG297),AH297))</f>
        <v/>
      </c>
      <c r="AJ297" s="5" t="n"/>
    </row>
    <row r="298">
      <c r="A298" s="5" t="n"/>
      <c r="B298" s="5" t="n"/>
      <c r="C298" s="5" t="n"/>
      <c r="D298" s="5">
        <f>IF(AND(B298&lt;&gt;"",C298&lt;&gt;""),C298-B298+1,"")</f>
        <v/>
      </c>
      <c r="E298" s="5">
        <f>IF(B298&lt;&gt;"",YEAR(B298),"")</f>
        <v/>
      </c>
      <c r="F298" s="6" t="n"/>
      <c r="G298" s="6" t="n"/>
      <c r="H298" s="6" t="n"/>
      <c r="I298" s="5">
        <f>IF(H298="","",IFERROR(INDEX(Szabályok!$B$13:$B$200,MATCH(H298,Szabályok!$A$13:$A$200,0)),""))</f>
        <v/>
      </c>
      <c r="J298" s="5">
        <f>IF(H298="","",IFERROR(INDEX(Szabályok!$C$13:$C$200,MATCH(H298,Szabályok!$A$13:$A$200,0)),""))</f>
        <v/>
      </c>
      <c r="K298" s="5">
        <f>IF(H298="","",IFERROR(INDEX(Szabályok!$D$13:$D$200,MATCH(H298,Szabályok!$A$13:$A$200,0)),""))</f>
        <v/>
      </c>
      <c r="L298" s="5">
        <f>IF(H298="","",IFERROR(INDEX(Szabályok!$E$13:$E$200,MATCH(H298,Szabályok!$A$13:$A$200,0)),""))</f>
        <v/>
      </c>
      <c r="M298" s="5">
        <f>IF(H298="","",IFERROR(INDEX(Szabályok!$F$13:$F$200,MATCH(H298,Szabályok!$A$13:$A$200,0)),""))</f>
        <v/>
      </c>
      <c r="N298" s="5">
        <f>IF(H298="","",IFERROR(INDEX(Szabályok!$G$13:$G$200,MATCH(H298,Szabályok!$A$13:$A$200,0)),""))</f>
        <v/>
      </c>
      <c r="O298" s="5">
        <f>IF(H298="","",IFERROR(INDEX(Szabályok!$H$13:$H$200,MATCH(H298,Szabályok!$A$13:$A$200,0)),""))</f>
        <v/>
      </c>
      <c r="P298" s="5" t="n"/>
      <c r="Q298" s="6" t="n"/>
      <c r="R298" s="6" t="n"/>
      <c r="S298" s="6">
        <f>IF(COUNT(Q298:R298)=0,"",SUM(Q298:R298))</f>
        <v/>
      </c>
      <c r="T298" s="6" t="n"/>
      <c r="U298" s="5">
        <f>IF(T298="","",IF(L298&lt;&gt;"IGEN","IGEN",IF(S298&gt;=T298,"IGEN","NEM")))</f>
        <v/>
      </c>
      <c r="V298" s="5" t="n"/>
      <c r="W298" s="5" t="n"/>
      <c r="X298" s="5" t="n"/>
      <c r="Y298" s="5" t="n"/>
      <c r="Z298" s="5">
        <f>IF(X298="","",IF(COUNTIFS($X$5:$X$304,X298,$I$5:$I$304,"&lt;"&amp;I298)=0,I298,""))</f>
        <v/>
      </c>
      <c r="AA298" s="5">
        <f>IF(X298="","",IF(COUNTIFS($X$5:$X$304,X298,$I$5:$I$304,"&lt;"&amp;I298)&gt;0,"NEM",IF(COUNTIFS($X$5:$X$304,X298,$I$5:$I$304,I298)=1,"IGEN",IF(Y298=1,"IGEN","NEM"))))</f>
        <v/>
      </c>
      <c r="AB298" s="5">
        <f>IF(OR(I298="",J298=""),"",IF(OR(I298=0,V298="IGEN",W298="IGEN"),"X",IF(AND(K298&lt;&gt;"IGEN",L298="IGEN",U298="NEM"),"X",IF(AA298="IGEN",J298,"X"))))</f>
        <v/>
      </c>
      <c r="AC298" s="5">
        <f>IF(AB298="X",0,IF(D298="","",D298))</f>
        <v/>
      </c>
      <c r="AD298" s="5">
        <f>IF(AB298="X",IF(D298="","",D298),0)</f>
        <v/>
      </c>
      <c r="AE298" s="6" t="n"/>
      <c r="AF298" s="6">
        <f>IF(E298="","",SUMIFS($AI$5:AI298,$E$5:E298,E298)-AI298)</f>
        <v/>
      </c>
      <c r="AG298" s="6">
        <f>IF(AE298="","",MAX(0,AE298-AF298))</f>
        <v/>
      </c>
      <c r="AH298" s="6">
        <f>IF(S298="","",IF(OR(I298=0,V298="IGEN",W298="IGEN"),0,IF(AND(K298&lt;&gt;"IGEN",L298="IGEN",U298="NEM"),0,S298)))</f>
        <v/>
      </c>
      <c r="AI298" s="6">
        <f>IF(AH298="","",IF(M298="IGEN",MIN(AH298,AG298),AH298))</f>
        <v/>
      </c>
      <c r="AJ298" s="5" t="n"/>
    </row>
    <row r="299">
      <c r="A299" s="5" t="n"/>
      <c r="B299" s="5" t="n"/>
      <c r="C299" s="5" t="n"/>
      <c r="D299" s="5">
        <f>IF(AND(B299&lt;&gt;"",C299&lt;&gt;""),C299-B299+1,"")</f>
        <v/>
      </c>
      <c r="E299" s="5">
        <f>IF(B299&lt;&gt;"",YEAR(B299),"")</f>
        <v/>
      </c>
      <c r="F299" s="6" t="n"/>
      <c r="G299" s="6" t="n"/>
      <c r="H299" s="6" t="n"/>
      <c r="I299" s="5">
        <f>IF(H299="","",IFERROR(INDEX(Szabályok!$B$13:$B$200,MATCH(H299,Szabályok!$A$13:$A$200,0)),""))</f>
        <v/>
      </c>
      <c r="J299" s="5">
        <f>IF(H299="","",IFERROR(INDEX(Szabályok!$C$13:$C$200,MATCH(H299,Szabályok!$A$13:$A$200,0)),""))</f>
        <v/>
      </c>
      <c r="K299" s="5">
        <f>IF(H299="","",IFERROR(INDEX(Szabályok!$D$13:$D$200,MATCH(H299,Szabályok!$A$13:$A$200,0)),""))</f>
        <v/>
      </c>
      <c r="L299" s="5">
        <f>IF(H299="","",IFERROR(INDEX(Szabályok!$E$13:$E$200,MATCH(H299,Szabályok!$A$13:$A$200,0)),""))</f>
        <v/>
      </c>
      <c r="M299" s="5">
        <f>IF(H299="","",IFERROR(INDEX(Szabályok!$F$13:$F$200,MATCH(H299,Szabályok!$A$13:$A$200,0)),""))</f>
        <v/>
      </c>
      <c r="N299" s="5">
        <f>IF(H299="","",IFERROR(INDEX(Szabályok!$G$13:$G$200,MATCH(H299,Szabályok!$A$13:$A$200,0)),""))</f>
        <v/>
      </c>
      <c r="O299" s="5">
        <f>IF(H299="","",IFERROR(INDEX(Szabályok!$H$13:$H$200,MATCH(H299,Szabályok!$A$13:$A$200,0)),""))</f>
        <v/>
      </c>
      <c r="P299" s="5" t="n"/>
      <c r="Q299" s="6" t="n"/>
      <c r="R299" s="6" t="n"/>
      <c r="S299" s="6">
        <f>IF(COUNT(Q299:R299)=0,"",SUM(Q299:R299))</f>
        <v/>
      </c>
      <c r="T299" s="6" t="n"/>
      <c r="U299" s="5">
        <f>IF(T299="","",IF(L299&lt;&gt;"IGEN","IGEN",IF(S299&gt;=T299,"IGEN","NEM")))</f>
        <v/>
      </c>
      <c r="V299" s="5" t="n"/>
      <c r="W299" s="5" t="n"/>
      <c r="X299" s="5" t="n"/>
      <c r="Y299" s="5" t="n"/>
      <c r="Z299" s="5">
        <f>IF(X299="","",IF(COUNTIFS($X$5:$X$304,X299,$I$5:$I$304,"&lt;"&amp;I299)=0,I299,""))</f>
        <v/>
      </c>
      <c r="AA299" s="5">
        <f>IF(X299="","",IF(COUNTIFS($X$5:$X$304,X299,$I$5:$I$304,"&lt;"&amp;I299)&gt;0,"NEM",IF(COUNTIFS($X$5:$X$304,X299,$I$5:$I$304,I299)=1,"IGEN",IF(Y299=1,"IGEN","NEM"))))</f>
        <v/>
      </c>
      <c r="AB299" s="5">
        <f>IF(OR(I299="",J299=""),"",IF(OR(I299=0,V299="IGEN",W299="IGEN"),"X",IF(AND(K299&lt;&gt;"IGEN",L299="IGEN",U299="NEM"),"X",IF(AA299="IGEN",J299,"X"))))</f>
        <v/>
      </c>
      <c r="AC299" s="5">
        <f>IF(AB299="X",0,IF(D299="","",D299))</f>
        <v/>
      </c>
      <c r="AD299" s="5">
        <f>IF(AB299="X",IF(D299="","",D299),0)</f>
        <v/>
      </c>
      <c r="AE299" s="6" t="n"/>
      <c r="AF299" s="6">
        <f>IF(E299="","",SUMIFS($AI$5:AI299,$E$5:E299,E299)-AI299)</f>
        <v/>
      </c>
      <c r="AG299" s="6">
        <f>IF(AE299="","",MAX(0,AE299-AF299))</f>
        <v/>
      </c>
      <c r="AH299" s="6">
        <f>IF(S299="","",IF(OR(I299=0,V299="IGEN",W299="IGEN"),0,IF(AND(K299&lt;&gt;"IGEN",L299="IGEN",U299="NEM"),0,S299)))</f>
        <v/>
      </c>
      <c r="AI299" s="6">
        <f>IF(AH299="","",IF(M299="IGEN",MIN(AH299,AG299),AH299))</f>
        <v/>
      </c>
      <c r="AJ299" s="5" t="n"/>
    </row>
    <row r="300">
      <c r="A300" s="5" t="n"/>
      <c r="B300" s="5" t="n"/>
      <c r="C300" s="5" t="n"/>
      <c r="D300" s="5">
        <f>IF(AND(B300&lt;&gt;"",C300&lt;&gt;""),C300-B300+1,"")</f>
        <v/>
      </c>
      <c r="E300" s="5">
        <f>IF(B300&lt;&gt;"",YEAR(B300),"")</f>
        <v/>
      </c>
      <c r="F300" s="6" t="n"/>
      <c r="G300" s="6" t="n"/>
      <c r="H300" s="6" t="n"/>
      <c r="I300" s="5">
        <f>IF(H300="","",IFERROR(INDEX(Szabályok!$B$13:$B$200,MATCH(H300,Szabályok!$A$13:$A$200,0)),""))</f>
        <v/>
      </c>
      <c r="J300" s="5">
        <f>IF(H300="","",IFERROR(INDEX(Szabályok!$C$13:$C$200,MATCH(H300,Szabályok!$A$13:$A$200,0)),""))</f>
        <v/>
      </c>
      <c r="K300" s="5">
        <f>IF(H300="","",IFERROR(INDEX(Szabályok!$D$13:$D$200,MATCH(H300,Szabályok!$A$13:$A$200,0)),""))</f>
        <v/>
      </c>
      <c r="L300" s="5">
        <f>IF(H300="","",IFERROR(INDEX(Szabályok!$E$13:$E$200,MATCH(H300,Szabályok!$A$13:$A$200,0)),""))</f>
        <v/>
      </c>
      <c r="M300" s="5">
        <f>IF(H300="","",IFERROR(INDEX(Szabályok!$F$13:$F$200,MATCH(H300,Szabályok!$A$13:$A$200,0)),""))</f>
        <v/>
      </c>
      <c r="N300" s="5">
        <f>IF(H300="","",IFERROR(INDEX(Szabályok!$G$13:$G$200,MATCH(H300,Szabályok!$A$13:$A$200,0)),""))</f>
        <v/>
      </c>
      <c r="O300" s="5">
        <f>IF(H300="","",IFERROR(INDEX(Szabályok!$H$13:$H$200,MATCH(H300,Szabályok!$A$13:$A$200,0)),""))</f>
        <v/>
      </c>
      <c r="P300" s="5" t="n"/>
      <c r="Q300" s="6" t="n"/>
      <c r="R300" s="6" t="n"/>
      <c r="S300" s="6">
        <f>IF(COUNT(Q300:R300)=0,"",SUM(Q300:R300))</f>
        <v/>
      </c>
      <c r="T300" s="6" t="n"/>
      <c r="U300" s="5">
        <f>IF(T300="","",IF(L300&lt;&gt;"IGEN","IGEN",IF(S300&gt;=T300,"IGEN","NEM")))</f>
        <v/>
      </c>
      <c r="V300" s="5" t="n"/>
      <c r="W300" s="5" t="n"/>
      <c r="X300" s="5" t="n"/>
      <c r="Y300" s="5" t="n"/>
      <c r="Z300" s="5">
        <f>IF(X300="","",IF(COUNTIFS($X$5:$X$304,X300,$I$5:$I$304,"&lt;"&amp;I300)=0,I300,""))</f>
        <v/>
      </c>
      <c r="AA300" s="5">
        <f>IF(X300="","",IF(COUNTIFS($X$5:$X$304,X300,$I$5:$I$304,"&lt;"&amp;I300)&gt;0,"NEM",IF(COUNTIFS($X$5:$X$304,X300,$I$5:$I$304,I300)=1,"IGEN",IF(Y300=1,"IGEN","NEM"))))</f>
        <v/>
      </c>
      <c r="AB300" s="5">
        <f>IF(OR(I300="",J300=""),"",IF(OR(I300=0,V300="IGEN",W300="IGEN"),"X",IF(AND(K300&lt;&gt;"IGEN",L300="IGEN",U300="NEM"),"X",IF(AA300="IGEN",J300,"X"))))</f>
        <v/>
      </c>
      <c r="AC300" s="5">
        <f>IF(AB300="X",0,IF(D300="","",D300))</f>
        <v/>
      </c>
      <c r="AD300" s="5">
        <f>IF(AB300="X",IF(D300="","",D300),0)</f>
        <v/>
      </c>
      <c r="AE300" s="6" t="n"/>
      <c r="AF300" s="6">
        <f>IF(E300="","",SUMIFS($AI$5:AI300,$E$5:E300,E300)-AI300)</f>
        <v/>
      </c>
      <c r="AG300" s="6">
        <f>IF(AE300="","",MAX(0,AE300-AF300))</f>
        <v/>
      </c>
      <c r="AH300" s="6">
        <f>IF(S300="","",IF(OR(I300=0,V300="IGEN",W300="IGEN"),0,IF(AND(K300&lt;&gt;"IGEN",L300="IGEN",U300="NEM"),0,S300)))</f>
        <v/>
      </c>
      <c r="AI300" s="6">
        <f>IF(AH300="","",IF(M300="IGEN",MIN(AH300,AG300),AH300))</f>
        <v/>
      </c>
      <c r="AJ300" s="5" t="n"/>
    </row>
    <row r="301">
      <c r="A301" s="5" t="n"/>
      <c r="B301" s="5" t="n"/>
      <c r="C301" s="5" t="n"/>
      <c r="D301" s="5">
        <f>IF(AND(B301&lt;&gt;"",C301&lt;&gt;""),C301-B301+1,"")</f>
        <v/>
      </c>
      <c r="E301" s="5">
        <f>IF(B301&lt;&gt;"",YEAR(B301),"")</f>
        <v/>
      </c>
      <c r="F301" s="6" t="n"/>
      <c r="G301" s="6" t="n"/>
      <c r="H301" s="6" t="n"/>
      <c r="I301" s="5">
        <f>IF(H301="","",IFERROR(INDEX(Szabályok!$B$13:$B$200,MATCH(H301,Szabályok!$A$13:$A$200,0)),""))</f>
        <v/>
      </c>
      <c r="J301" s="5">
        <f>IF(H301="","",IFERROR(INDEX(Szabályok!$C$13:$C$200,MATCH(H301,Szabályok!$A$13:$A$200,0)),""))</f>
        <v/>
      </c>
      <c r="K301" s="5">
        <f>IF(H301="","",IFERROR(INDEX(Szabályok!$D$13:$D$200,MATCH(H301,Szabályok!$A$13:$A$200,0)),""))</f>
        <v/>
      </c>
      <c r="L301" s="5">
        <f>IF(H301="","",IFERROR(INDEX(Szabályok!$E$13:$E$200,MATCH(H301,Szabályok!$A$13:$A$200,0)),""))</f>
        <v/>
      </c>
      <c r="M301" s="5">
        <f>IF(H301="","",IFERROR(INDEX(Szabályok!$F$13:$F$200,MATCH(H301,Szabályok!$A$13:$A$200,0)),""))</f>
        <v/>
      </c>
      <c r="N301" s="5">
        <f>IF(H301="","",IFERROR(INDEX(Szabályok!$G$13:$G$200,MATCH(H301,Szabályok!$A$13:$A$200,0)),""))</f>
        <v/>
      </c>
      <c r="O301" s="5">
        <f>IF(H301="","",IFERROR(INDEX(Szabályok!$H$13:$H$200,MATCH(H301,Szabályok!$A$13:$A$200,0)),""))</f>
        <v/>
      </c>
      <c r="P301" s="5" t="n"/>
      <c r="Q301" s="6" t="n"/>
      <c r="R301" s="6" t="n"/>
      <c r="S301" s="6">
        <f>IF(COUNT(Q301:R301)=0,"",SUM(Q301:R301))</f>
        <v/>
      </c>
      <c r="T301" s="6" t="n"/>
      <c r="U301" s="5">
        <f>IF(T301="","",IF(L301&lt;&gt;"IGEN","IGEN",IF(S301&gt;=T301,"IGEN","NEM")))</f>
        <v/>
      </c>
      <c r="V301" s="5" t="n"/>
      <c r="W301" s="5" t="n"/>
      <c r="X301" s="5" t="n"/>
      <c r="Y301" s="5" t="n"/>
      <c r="Z301" s="5">
        <f>IF(X301="","",IF(COUNTIFS($X$5:$X$304,X301,$I$5:$I$304,"&lt;"&amp;I301)=0,I301,""))</f>
        <v/>
      </c>
      <c r="AA301" s="5">
        <f>IF(X301="","",IF(COUNTIFS($X$5:$X$304,X301,$I$5:$I$304,"&lt;"&amp;I301)&gt;0,"NEM",IF(COUNTIFS($X$5:$X$304,X301,$I$5:$I$304,I301)=1,"IGEN",IF(Y301=1,"IGEN","NEM"))))</f>
        <v/>
      </c>
      <c r="AB301" s="5">
        <f>IF(OR(I301="",J301=""),"",IF(OR(I301=0,V301="IGEN",W301="IGEN"),"X",IF(AND(K301&lt;&gt;"IGEN",L301="IGEN",U301="NEM"),"X",IF(AA301="IGEN",J301,"X"))))</f>
        <v/>
      </c>
      <c r="AC301" s="5">
        <f>IF(AB301="X",0,IF(D301="","",D301))</f>
        <v/>
      </c>
      <c r="AD301" s="5">
        <f>IF(AB301="X",IF(D301="","",D301),0)</f>
        <v/>
      </c>
      <c r="AE301" s="6" t="n"/>
      <c r="AF301" s="6">
        <f>IF(E301="","",SUMIFS($AI$5:AI301,$E$5:E301,E301)-AI301)</f>
        <v/>
      </c>
      <c r="AG301" s="6">
        <f>IF(AE301="","",MAX(0,AE301-AF301))</f>
        <v/>
      </c>
      <c r="AH301" s="6">
        <f>IF(S301="","",IF(OR(I301=0,V301="IGEN",W301="IGEN"),0,IF(AND(K301&lt;&gt;"IGEN",L301="IGEN",U301="NEM"),0,S301)))</f>
        <v/>
      </c>
      <c r="AI301" s="6">
        <f>IF(AH301="","",IF(M301="IGEN",MIN(AH301,AG301),AH301))</f>
        <v/>
      </c>
      <c r="AJ301" s="5" t="n"/>
    </row>
    <row r="302">
      <c r="A302" s="5" t="n"/>
      <c r="B302" s="5" t="n"/>
      <c r="C302" s="5" t="n"/>
      <c r="D302" s="5">
        <f>IF(AND(B302&lt;&gt;"",C302&lt;&gt;""),C302-B302+1,"")</f>
        <v/>
      </c>
      <c r="E302" s="5">
        <f>IF(B302&lt;&gt;"",YEAR(B302),"")</f>
        <v/>
      </c>
      <c r="F302" s="6" t="n"/>
      <c r="G302" s="6" t="n"/>
      <c r="H302" s="6" t="n"/>
      <c r="I302" s="5">
        <f>IF(H302="","",IFERROR(INDEX(Szabályok!$B$13:$B$200,MATCH(H302,Szabályok!$A$13:$A$200,0)),""))</f>
        <v/>
      </c>
      <c r="J302" s="5">
        <f>IF(H302="","",IFERROR(INDEX(Szabályok!$C$13:$C$200,MATCH(H302,Szabályok!$A$13:$A$200,0)),""))</f>
        <v/>
      </c>
      <c r="K302" s="5">
        <f>IF(H302="","",IFERROR(INDEX(Szabályok!$D$13:$D$200,MATCH(H302,Szabályok!$A$13:$A$200,0)),""))</f>
        <v/>
      </c>
      <c r="L302" s="5">
        <f>IF(H302="","",IFERROR(INDEX(Szabályok!$E$13:$E$200,MATCH(H302,Szabályok!$A$13:$A$200,0)),""))</f>
        <v/>
      </c>
      <c r="M302" s="5">
        <f>IF(H302="","",IFERROR(INDEX(Szabályok!$F$13:$F$200,MATCH(H302,Szabályok!$A$13:$A$200,0)),""))</f>
        <v/>
      </c>
      <c r="N302" s="5">
        <f>IF(H302="","",IFERROR(INDEX(Szabályok!$G$13:$G$200,MATCH(H302,Szabályok!$A$13:$A$200,0)),""))</f>
        <v/>
      </c>
      <c r="O302" s="5">
        <f>IF(H302="","",IFERROR(INDEX(Szabályok!$H$13:$H$200,MATCH(H302,Szabályok!$A$13:$A$200,0)),""))</f>
        <v/>
      </c>
      <c r="P302" s="5" t="n"/>
      <c r="Q302" s="6" t="n"/>
      <c r="R302" s="6" t="n"/>
      <c r="S302" s="6">
        <f>IF(COUNT(Q302:R302)=0,"",SUM(Q302:R302))</f>
        <v/>
      </c>
      <c r="T302" s="6" t="n"/>
      <c r="U302" s="5">
        <f>IF(T302="","",IF(L302&lt;&gt;"IGEN","IGEN",IF(S302&gt;=T302,"IGEN","NEM")))</f>
        <v/>
      </c>
      <c r="V302" s="5" t="n"/>
      <c r="W302" s="5" t="n"/>
      <c r="X302" s="5" t="n"/>
      <c r="Y302" s="5" t="n"/>
      <c r="Z302" s="5">
        <f>IF(X302="","",IF(COUNTIFS($X$5:$X$304,X302,$I$5:$I$304,"&lt;"&amp;I302)=0,I302,""))</f>
        <v/>
      </c>
      <c r="AA302" s="5">
        <f>IF(X302="","",IF(COUNTIFS($X$5:$X$304,X302,$I$5:$I$304,"&lt;"&amp;I302)&gt;0,"NEM",IF(COUNTIFS($X$5:$X$304,X302,$I$5:$I$304,I302)=1,"IGEN",IF(Y302=1,"IGEN","NEM"))))</f>
        <v/>
      </c>
      <c r="AB302" s="5">
        <f>IF(OR(I302="",J302=""),"",IF(OR(I302=0,V302="IGEN",W302="IGEN"),"X",IF(AND(K302&lt;&gt;"IGEN",L302="IGEN",U302="NEM"),"X",IF(AA302="IGEN",J302,"X"))))</f>
        <v/>
      </c>
      <c r="AC302" s="5">
        <f>IF(AB302="X",0,IF(D302="","",D302))</f>
        <v/>
      </c>
      <c r="AD302" s="5">
        <f>IF(AB302="X",IF(D302="","",D302),0)</f>
        <v/>
      </c>
      <c r="AE302" s="6" t="n"/>
      <c r="AF302" s="6">
        <f>IF(E302="","",SUMIFS($AI$5:AI302,$E$5:E302,E302)-AI302)</f>
        <v/>
      </c>
      <c r="AG302" s="6">
        <f>IF(AE302="","",MAX(0,AE302-AF302))</f>
        <v/>
      </c>
      <c r="AH302" s="6">
        <f>IF(S302="","",IF(OR(I302=0,V302="IGEN",W302="IGEN"),0,IF(AND(K302&lt;&gt;"IGEN",L302="IGEN",U302="NEM"),0,S302)))</f>
        <v/>
      </c>
      <c r="AI302" s="6">
        <f>IF(AH302="","",IF(M302="IGEN",MIN(AH302,AG302),AH302))</f>
        <v/>
      </c>
      <c r="AJ302" s="5" t="n"/>
    </row>
    <row r="303">
      <c r="A303" s="5" t="n"/>
      <c r="B303" s="5" t="n"/>
      <c r="C303" s="5" t="n"/>
      <c r="D303" s="5">
        <f>IF(AND(B303&lt;&gt;"",C303&lt;&gt;""),C303-B303+1,"")</f>
        <v/>
      </c>
      <c r="E303" s="5">
        <f>IF(B303&lt;&gt;"",YEAR(B303),"")</f>
        <v/>
      </c>
      <c r="F303" s="6" t="n"/>
      <c r="G303" s="6" t="n"/>
      <c r="H303" s="6" t="n"/>
      <c r="I303" s="5">
        <f>IF(H303="","",IFERROR(INDEX(Szabályok!$B$13:$B$200,MATCH(H303,Szabályok!$A$13:$A$200,0)),""))</f>
        <v/>
      </c>
      <c r="J303" s="5">
        <f>IF(H303="","",IFERROR(INDEX(Szabályok!$C$13:$C$200,MATCH(H303,Szabályok!$A$13:$A$200,0)),""))</f>
        <v/>
      </c>
      <c r="K303" s="5">
        <f>IF(H303="","",IFERROR(INDEX(Szabályok!$D$13:$D$200,MATCH(H303,Szabályok!$A$13:$A$200,0)),""))</f>
        <v/>
      </c>
      <c r="L303" s="5">
        <f>IF(H303="","",IFERROR(INDEX(Szabályok!$E$13:$E$200,MATCH(H303,Szabályok!$A$13:$A$200,0)),""))</f>
        <v/>
      </c>
      <c r="M303" s="5">
        <f>IF(H303="","",IFERROR(INDEX(Szabályok!$F$13:$F$200,MATCH(H303,Szabályok!$A$13:$A$200,0)),""))</f>
        <v/>
      </c>
      <c r="N303" s="5">
        <f>IF(H303="","",IFERROR(INDEX(Szabályok!$G$13:$G$200,MATCH(H303,Szabályok!$A$13:$A$200,0)),""))</f>
        <v/>
      </c>
      <c r="O303" s="5">
        <f>IF(H303="","",IFERROR(INDEX(Szabályok!$H$13:$H$200,MATCH(H303,Szabályok!$A$13:$A$200,0)),""))</f>
        <v/>
      </c>
      <c r="P303" s="5" t="n"/>
      <c r="Q303" s="6" t="n"/>
      <c r="R303" s="6" t="n"/>
      <c r="S303" s="6">
        <f>IF(COUNT(Q303:R303)=0,"",SUM(Q303:R303))</f>
        <v/>
      </c>
      <c r="T303" s="6" t="n"/>
      <c r="U303" s="5">
        <f>IF(T303="","",IF(L303&lt;&gt;"IGEN","IGEN",IF(S303&gt;=T303,"IGEN","NEM")))</f>
        <v/>
      </c>
      <c r="V303" s="5" t="n"/>
      <c r="W303" s="5" t="n"/>
      <c r="X303" s="5" t="n"/>
      <c r="Y303" s="5" t="n"/>
      <c r="Z303" s="5">
        <f>IF(X303="","",IF(COUNTIFS($X$5:$X$304,X303,$I$5:$I$304,"&lt;"&amp;I303)=0,I303,""))</f>
        <v/>
      </c>
      <c r="AA303" s="5">
        <f>IF(X303="","",IF(COUNTIFS($X$5:$X$304,X303,$I$5:$I$304,"&lt;"&amp;I303)&gt;0,"NEM",IF(COUNTIFS($X$5:$X$304,X303,$I$5:$I$304,I303)=1,"IGEN",IF(Y303=1,"IGEN","NEM"))))</f>
        <v/>
      </c>
      <c r="AB303" s="5">
        <f>IF(OR(I303="",J303=""),"",IF(OR(I303=0,V303="IGEN",W303="IGEN"),"X",IF(AND(K303&lt;&gt;"IGEN",L303="IGEN",U303="NEM"),"X",IF(AA303="IGEN",J303,"X"))))</f>
        <v/>
      </c>
      <c r="AC303" s="5">
        <f>IF(AB303="X",0,IF(D303="","",D303))</f>
        <v/>
      </c>
      <c r="AD303" s="5">
        <f>IF(AB303="X",IF(D303="","",D303),0)</f>
        <v/>
      </c>
      <c r="AE303" s="6" t="n"/>
      <c r="AF303" s="6">
        <f>IF(E303="","",SUMIFS($AI$5:AI303,$E$5:E303,E303)-AI303)</f>
        <v/>
      </c>
      <c r="AG303" s="6">
        <f>IF(AE303="","",MAX(0,AE303-AF303))</f>
        <v/>
      </c>
      <c r="AH303" s="6">
        <f>IF(S303="","",IF(OR(I303=0,V303="IGEN",W303="IGEN"),0,IF(AND(K303&lt;&gt;"IGEN",L303="IGEN",U303="NEM"),0,S303)))</f>
        <v/>
      </c>
      <c r="AI303" s="6">
        <f>IF(AH303="","",IF(M303="IGEN",MIN(AH303,AG303),AH303))</f>
        <v/>
      </c>
      <c r="AJ303" s="5" t="n"/>
    </row>
    <row r="304">
      <c r="A304" s="5" t="n"/>
      <c r="B304" s="5" t="n"/>
      <c r="C304" s="5" t="n"/>
      <c r="D304" s="5">
        <f>IF(AND(B304&lt;&gt;"",C304&lt;&gt;""),C304-B304+1,"")</f>
        <v/>
      </c>
      <c r="E304" s="5">
        <f>IF(B304&lt;&gt;"",YEAR(B304),"")</f>
        <v/>
      </c>
      <c r="F304" s="6" t="n"/>
      <c r="G304" s="6" t="n"/>
      <c r="H304" s="6" t="n"/>
      <c r="I304" s="5">
        <f>IF(H304="","",IFERROR(INDEX(Szabályok!$B$13:$B$200,MATCH(H304,Szabályok!$A$13:$A$200,0)),""))</f>
        <v/>
      </c>
      <c r="J304" s="5">
        <f>IF(H304="","",IFERROR(INDEX(Szabályok!$C$13:$C$200,MATCH(H304,Szabályok!$A$13:$A$200,0)),""))</f>
        <v/>
      </c>
      <c r="K304" s="5">
        <f>IF(H304="","",IFERROR(INDEX(Szabályok!$D$13:$D$200,MATCH(H304,Szabályok!$A$13:$A$200,0)),""))</f>
        <v/>
      </c>
      <c r="L304" s="5">
        <f>IF(H304="","",IFERROR(INDEX(Szabályok!$E$13:$E$200,MATCH(H304,Szabályok!$A$13:$A$200,0)),""))</f>
        <v/>
      </c>
      <c r="M304" s="5">
        <f>IF(H304="","",IFERROR(INDEX(Szabályok!$F$13:$F$200,MATCH(H304,Szabályok!$A$13:$A$200,0)),""))</f>
        <v/>
      </c>
      <c r="N304" s="5">
        <f>IF(H304="","",IFERROR(INDEX(Szabályok!$G$13:$G$200,MATCH(H304,Szabályok!$A$13:$A$200,0)),""))</f>
        <v/>
      </c>
      <c r="O304" s="5">
        <f>IF(H304="","",IFERROR(INDEX(Szabályok!$H$13:$H$200,MATCH(H304,Szabályok!$A$13:$A$200,0)),""))</f>
        <v/>
      </c>
      <c r="P304" s="5" t="n"/>
      <c r="Q304" s="6" t="n"/>
      <c r="R304" s="6" t="n"/>
      <c r="S304" s="6">
        <f>IF(COUNT(Q304:R304)=0,"",SUM(Q304:R304))</f>
        <v/>
      </c>
      <c r="T304" s="6" t="n"/>
      <c r="U304" s="5">
        <f>IF(T304="","",IF(L304&lt;&gt;"IGEN","IGEN",IF(S304&gt;=T304,"IGEN","NEM")))</f>
        <v/>
      </c>
      <c r="V304" s="5" t="n"/>
      <c r="W304" s="5" t="n"/>
      <c r="X304" s="5" t="n"/>
      <c r="Y304" s="5" t="n"/>
      <c r="Z304" s="5">
        <f>IF(X304="","",IF(COUNTIFS($X$5:$X$304,X304,$I$5:$I$304,"&lt;"&amp;I304)=0,I304,""))</f>
        <v/>
      </c>
      <c r="AA304" s="5">
        <f>IF(X304="","",IF(COUNTIFS($X$5:$X$304,X304,$I$5:$I$304,"&lt;"&amp;I304)&gt;0,"NEM",IF(COUNTIFS($X$5:$X$304,X304,$I$5:$I$304,I304)=1,"IGEN",IF(Y304=1,"IGEN","NEM"))))</f>
        <v/>
      </c>
      <c r="AB304" s="5">
        <f>IF(OR(I304="",J304=""),"",IF(OR(I304=0,V304="IGEN",W304="IGEN"),"X",IF(AND(K304&lt;&gt;"IGEN",L304="IGEN",U304="NEM"),"X",IF(AA304="IGEN",J304,"X"))))</f>
        <v/>
      </c>
      <c r="AC304" s="5">
        <f>IF(AB304="X",0,IF(D304="","",D304))</f>
        <v/>
      </c>
      <c r="AD304" s="5">
        <f>IF(AB304="X",IF(D304="","",D304),0)</f>
        <v/>
      </c>
      <c r="AE304" s="6" t="n"/>
      <c r="AF304" s="6">
        <f>IF(E304="","",SUMIFS($AI$5:AI304,$E$5:E304,E304)-AI304)</f>
        <v/>
      </c>
      <c r="AG304" s="6">
        <f>IF(AE304="","",MAX(0,AE304-AF304))</f>
        <v/>
      </c>
      <c r="AH304" s="6">
        <f>IF(S304="","",IF(OR(I304=0,V304="IGEN",W304="IGEN"),0,IF(AND(K304&lt;&gt;"IGEN",L304="IGEN",U304="NEM"),0,S304)))</f>
        <v/>
      </c>
      <c r="AI304" s="6">
        <f>IF(AH304="","",IF(M304="IGEN",MIN(AH304,AG304),AH304))</f>
        <v/>
      </c>
      <c r="AJ304" s="5" t="n"/>
    </row>
  </sheetData>
  <conditionalFormatting sqref="AB5:AB304">
    <cfRule type="expression" priority="1" dxfId="0">
      <formula>$AB5="X"</formula>
    </cfRule>
  </conditionalFormatting>
  <conditionalFormatting sqref="AA5:AA304">
    <cfRule type="expression" priority="2" dxfId="1">
      <formula>$AA5="IGEN"</formula>
    </cfRule>
  </conditionalFormatting>
  <conditionalFormatting sqref="U5:U304">
    <cfRule type="expression" priority="3" dxfId="2">
      <formula>$U5="NEM"</formula>
    </cfRule>
  </conditionalFormatting>
  <dataValidations count="2">
    <dataValidation sqref="V5:V304 W5:W304" showDropDown="0" showInputMessage="0" showErrorMessage="0" allowBlank="1" type="list">
      <formula1>"IGEN,NEM"</formula1>
    </dataValidation>
    <dataValidation sqref="Y5:Y304" showDropDown="0" showInputMessage="0" showErrorMessage="0" allowBlank="1" type="whole" operator="between">
      <formula1>1</formula1>
      <formula2>99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2026-04-26T16:15:58Z</dcterms:created>
  <dcterms:modified xsi:type="dcterms:W3CDTF">2026-04-26T16:17:28Z</dcterms:modified>
</cp:coreProperties>
</file>